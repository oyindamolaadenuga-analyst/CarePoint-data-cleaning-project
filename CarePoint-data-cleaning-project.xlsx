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619263e1bda622c/Documents/Amdari Projects/"/>
    </mc:Choice>
  </mc:AlternateContent>
  <xr:revisionPtr revIDLastSave="0" documentId="8_{94219E92-2BCF-4DCF-9251-46D42052F82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Messy Patient Data (2)" sheetId="3" r:id="rId1"/>
    <sheet name="Clean Patient Data" sheetId="1" r:id="rId2"/>
    <sheet name="Cleaning Task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" i="1" l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G3" i="1"/>
  <c r="AG9" i="1"/>
  <c r="AG19" i="1"/>
  <c r="AG20" i="1"/>
  <c r="AG21" i="1"/>
  <c r="AG23" i="1"/>
  <c r="AG60" i="1"/>
  <c r="AG61" i="1"/>
  <c r="AG63" i="1"/>
  <c r="AG79" i="1"/>
  <c r="AG80" i="1"/>
  <c r="AG81" i="1"/>
  <c r="AG83" i="1"/>
  <c r="AG88" i="1"/>
  <c r="AG89" i="1"/>
  <c r="AG100" i="1"/>
  <c r="AG120" i="1"/>
  <c r="AG139" i="1"/>
  <c r="AG140" i="1"/>
  <c r="AG141" i="1"/>
  <c r="AG143" i="1"/>
  <c r="AG148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AM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K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T24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AU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O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K3" i="1"/>
  <c r="AK4" i="1"/>
  <c r="AK5" i="1"/>
  <c r="AQ5" i="1" s="1"/>
  <c r="AK6" i="1"/>
  <c r="AK7" i="1"/>
  <c r="AK8" i="1"/>
  <c r="AK9" i="1"/>
  <c r="AK10" i="1"/>
  <c r="AK11" i="1"/>
  <c r="AK12" i="1"/>
  <c r="AP12" i="1" s="1"/>
  <c r="AK13" i="1"/>
  <c r="AP13" i="1" s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P32" i="1" s="1"/>
  <c r="AK33" i="1"/>
  <c r="AP33" i="1" s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P52" i="1" s="1"/>
  <c r="AK53" i="1"/>
  <c r="AP53" i="1" s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P72" i="1" s="1"/>
  <c r="AK73" i="1"/>
  <c r="AP73" i="1" s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P92" i="1" s="1"/>
  <c r="AK93" i="1"/>
  <c r="AP93" i="1" s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P112" i="1" s="1"/>
  <c r="AK113" i="1"/>
  <c r="AP113" i="1" s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P132" i="1" s="1"/>
  <c r="AK133" i="1"/>
  <c r="AP133" i="1" s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Q151" i="1" s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F2" i="1"/>
  <c r="AG2" i="1" s="1"/>
  <c r="AF3" i="1"/>
  <c r="AF4" i="1"/>
  <c r="AG4" i="1" s="1"/>
  <c r="AF5" i="1"/>
  <c r="AG5" i="1" s="1"/>
  <c r="AF6" i="1"/>
  <c r="AG6" i="1" s="1"/>
  <c r="AF7" i="1"/>
  <c r="AG7" i="1" s="1"/>
  <c r="AF8" i="1"/>
  <c r="AG8" i="1" s="1"/>
  <c r="AF9" i="1"/>
  <c r="AF10" i="1"/>
  <c r="AG10" i="1" s="1"/>
  <c r="AF11" i="1"/>
  <c r="AG11" i="1" s="1"/>
  <c r="AF12" i="1"/>
  <c r="AG12" i="1" s="1"/>
  <c r="AF13" i="1"/>
  <c r="AG13" i="1" s="1"/>
  <c r="AF14" i="1"/>
  <c r="AG14" i="1" s="1"/>
  <c r="AF15" i="1"/>
  <c r="AG15" i="1" s="1"/>
  <c r="AF16" i="1"/>
  <c r="AG16" i="1" s="1"/>
  <c r="AF17" i="1"/>
  <c r="AG17" i="1" s="1"/>
  <c r="AF18" i="1"/>
  <c r="AG18" i="1" s="1"/>
  <c r="AF19" i="1"/>
  <c r="AF20" i="1"/>
  <c r="AF21" i="1"/>
  <c r="AF22" i="1"/>
  <c r="AG22" i="1" s="1"/>
  <c r="AF23" i="1"/>
  <c r="AF24" i="1"/>
  <c r="AG24" i="1" s="1"/>
  <c r="AF25" i="1"/>
  <c r="AG25" i="1" s="1"/>
  <c r="AF26" i="1"/>
  <c r="AG26" i="1" s="1"/>
  <c r="AF27" i="1"/>
  <c r="AG27" i="1" s="1"/>
  <c r="AF28" i="1"/>
  <c r="AG28" i="1" s="1"/>
  <c r="AF29" i="1"/>
  <c r="AG29" i="1" s="1"/>
  <c r="AF30" i="1"/>
  <c r="AG30" i="1" s="1"/>
  <c r="AF31" i="1"/>
  <c r="AG31" i="1" s="1"/>
  <c r="AF32" i="1"/>
  <c r="AG32" i="1" s="1"/>
  <c r="AF33" i="1"/>
  <c r="AG33" i="1" s="1"/>
  <c r="AF34" i="1"/>
  <c r="AG34" i="1" s="1"/>
  <c r="AF35" i="1"/>
  <c r="AG35" i="1" s="1"/>
  <c r="AF36" i="1"/>
  <c r="AG36" i="1" s="1"/>
  <c r="AF37" i="1"/>
  <c r="AG37" i="1" s="1"/>
  <c r="AF38" i="1"/>
  <c r="AG38" i="1" s="1"/>
  <c r="AF39" i="1"/>
  <c r="AG39" i="1" s="1"/>
  <c r="AF40" i="1"/>
  <c r="AG40" i="1" s="1"/>
  <c r="AF41" i="1"/>
  <c r="AG41" i="1" s="1"/>
  <c r="AF42" i="1"/>
  <c r="AG42" i="1" s="1"/>
  <c r="AF43" i="1"/>
  <c r="AG43" i="1" s="1"/>
  <c r="AF44" i="1"/>
  <c r="AG44" i="1" s="1"/>
  <c r="AF45" i="1"/>
  <c r="AG45" i="1" s="1"/>
  <c r="AF46" i="1"/>
  <c r="AG46" i="1" s="1"/>
  <c r="AF47" i="1"/>
  <c r="AG47" i="1" s="1"/>
  <c r="AF48" i="1"/>
  <c r="AG48" i="1" s="1"/>
  <c r="AF49" i="1"/>
  <c r="AG49" i="1" s="1"/>
  <c r="AF50" i="1"/>
  <c r="AG50" i="1" s="1"/>
  <c r="AF51" i="1"/>
  <c r="AG51" i="1" s="1"/>
  <c r="AF52" i="1"/>
  <c r="AG52" i="1" s="1"/>
  <c r="AF53" i="1"/>
  <c r="AG53" i="1" s="1"/>
  <c r="AF54" i="1"/>
  <c r="AG54" i="1" s="1"/>
  <c r="AF55" i="1"/>
  <c r="AG55" i="1" s="1"/>
  <c r="AF56" i="1"/>
  <c r="AG56" i="1" s="1"/>
  <c r="AF57" i="1"/>
  <c r="AG57" i="1" s="1"/>
  <c r="AF58" i="1"/>
  <c r="AG58" i="1" s="1"/>
  <c r="AF59" i="1"/>
  <c r="AG59" i="1" s="1"/>
  <c r="AF60" i="1"/>
  <c r="AF61" i="1"/>
  <c r="AF62" i="1"/>
  <c r="AG62" i="1" s="1"/>
  <c r="AF63" i="1"/>
  <c r="AF64" i="1"/>
  <c r="AG64" i="1" s="1"/>
  <c r="AF65" i="1"/>
  <c r="AG65" i="1" s="1"/>
  <c r="AF66" i="1"/>
  <c r="AG66" i="1" s="1"/>
  <c r="AF67" i="1"/>
  <c r="AG67" i="1" s="1"/>
  <c r="AF68" i="1"/>
  <c r="AG68" i="1" s="1"/>
  <c r="AF69" i="1"/>
  <c r="AG69" i="1" s="1"/>
  <c r="AF70" i="1"/>
  <c r="AG70" i="1" s="1"/>
  <c r="AF71" i="1"/>
  <c r="AG71" i="1" s="1"/>
  <c r="AF72" i="1"/>
  <c r="AG72" i="1" s="1"/>
  <c r="AF73" i="1"/>
  <c r="AG73" i="1" s="1"/>
  <c r="AF74" i="1"/>
  <c r="AG74" i="1" s="1"/>
  <c r="AF75" i="1"/>
  <c r="AG75" i="1" s="1"/>
  <c r="AF76" i="1"/>
  <c r="AG76" i="1" s="1"/>
  <c r="AF77" i="1"/>
  <c r="AG77" i="1" s="1"/>
  <c r="AF78" i="1"/>
  <c r="AG78" i="1" s="1"/>
  <c r="AF79" i="1"/>
  <c r="AF80" i="1"/>
  <c r="AF81" i="1"/>
  <c r="AF82" i="1"/>
  <c r="AG82" i="1" s="1"/>
  <c r="AF83" i="1"/>
  <c r="AF84" i="1"/>
  <c r="AG84" i="1" s="1"/>
  <c r="AF85" i="1"/>
  <c r="AG85" i="1" s="1"/>
  <c r="AF86" i="1"/>
  <c r="AG86" i="1" s="1"/>
  <c r="AF87" i="1"/>
  <c r="AG87" i="1" s="1"/>
  <c r="AF88" i="1"/>
  <c r="AF89" i="1"/>
  <c r="AF90" i="1"/>
  <c r="AG90" i="1" s="1"/>
  <c r="AF91" i="1"/>
  <c r="AG91" i="1" s="1"/>
  <c r="AF92" i="1"/>
  <c r="AG92" i="1" s="1"/>
  <c r="AF93" i="1"/>
  <c r="AG93" i="1" s="1"/>
  <c r="AF94" i="1"/>
  <c r="AG94" i="1" s="1"/>
  <c r="AF95" i="1"/>
  <c r="AG95" i="1" s="1"/>
  <c r="AF96" i="1"/>
  <c r="AG96" i="1" s="1"/>
  <c r="AF97" i="1"/>
  <c r="AG97" i="1" s="1"/>
  <c r="AF98" i="1"/>
  <c r="AG98" i="1" s="1"/>
  <c r="AF99" i="1"/>
  <c r="AG99" i="1" s="1"/>
  <c r="AF100" i="1"/>
  <c r="AF101" i="1"/>
  <c r="AG101" i="1" s="1"/>
  <c r="AF102" i="1"/>
  <c r="AG102" i="1" s="1"/>
  <c r="AF103" i="1"/>
  <c r="AG103" i="1" s="1"/>
  <c r="AF104" i="1"/>
  <c r="AG104" i="1" s="1"/>
  <c r="AF105" i="1"/>
  <c r="AG105" i="1" s="1"/>
  <c r="AF106" i="1"/>
  <c r="AG106" i="1" s="1"/>
  <c r="AF107" i="1"/>
  <c r="AG107" i="1" s="1"/>
  <c r="AF108" i="1"/>
  <c r="AG108" i="1" s="1"/>
  <c r="AF109" i="1"/>
  <c r="AG109" i="1" s="1"/>
  <c r="AF110" i="1"/>
  <c r="AG110" i="1" s="1"/>
  <c r="AF111" i="1"/>
  <c r="AG111" i="1" s="1"/>
  <c r="AF112" i="1"/>
  <c r="AG112" i="1" s="1"/>
  <c r="AF113" i="1"/>
  <c r="AG113" i="1" s="1"/>
  <c r="AF114" i="1"/>
  <c r="AG114" i="1" s="1"/>
  <c r="AF115" i="1"/>
  <c r="AG115" i="1" s="1"/>
  <c r="AF116" i="1"/>
  <c r="AG116" i="1" s="1"/>
  <c r="AF117" i="1"/>
  <c r="AG117" i="1" s="1"/>
  <c r="AF118" i="1"/>
  <c r="AG118" i="1" s="1"/>
  <c r="AF119" i="1"/>
  <c r="AG119" i="1" s="1"/>
  <c r="AF120" i="1"/>
  <c r="AF121" i="1"/>
  <c r="AG121" i="1" s="1"/>
  <c r="AF122" i="1"/>
  <c r="AG122" i="1" s="1"/>
  <c r="AF123" i="1"/>
  <c r="AG123" i="1" s="1"/>
  <c r="AF124" i="1"/>
  <c r="AG124" i="1" s="1"/>
  <c r="AF125" i="1"/>
  <c r="AG125" i="1" s="1"/>
  <c r="AF126" i="1"/>
  <c r="AG126" i="1" s="1"/>
  <c r="AF127" i="1"/>
  <c r="AG127" i="1" s="1"/>
  <c r="AF128" i="1"/>
  <c r="AG128" i="1" s="1"/>
  <c r="AF129" i="1"/>
  <c r="AG129" i="1" s="1"/>
  <c r="AF130" i="1"/>
  <c r="AG130" i="1" s="1"/>
  <c r="AF131" i="1"/>
  <c r="AG131" i="1" s="1"/>
  <c r="AF132" i="1"/>
  <c r="AG132" i="1" s="1"/>
  <c r="AF133" i="1"/>
  <c r="AG133" i="1" s="1"/>
  <c r="AF134" i="1"/>
  <c r="AG134" i="1" s="1"/>
  <c r="AF135" i="1"/>
  <c r="AG135" i="1" s="1"/>
  <c r="AF136" i="1"/>
  <c r="AG136" i="1" s="1"/>
  <c r="AF137" i="1"/>
  <c r="AG137" i="1" s="1"/>
  <c r="AF138" i="1"/>
  <c r="AG138" i="1" s="1"/>
  <c r="AF139" i="1"/>
  <c r="AF140" i="1"/>
  <c r="AF141" i="1"/>
  <c r="AF142" i="1"/>
  <c r="AG142" i="1" s="1"/>
  <c r="AF143" i="1"/>
  <c r="AF144" i="1"/>
  <c r="AG144" i="1" s="1"/>
  <c r="AF145" i="1"/>
  <c r="AG145" i="1" s="1"/>
  <c r="AF146" i="1"/>
  <c r="AG146" i="1" s="1"/>
  <c r="AF147" i="1"/>
  <c r="AG147" i="1" s="1"/>
  <c r="AF148" i="1"/>
  <c r="AF149" i="1"/>
  <c r="AG149" i="1" s="1"/>
  <c r="AF150" i="1"/>
  <c r="AG150" i="1" s="1"/>
  <c r="AF151" i="1"/>
  <c r="AG151" i="1" s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AP136" i="1" l="1"/>
  <c r="AP116" i="1"/>
  <c r="AP96" i="1"/>
  <c r="AP76" i="1"/>
  <c r="AP56" i="1"/>
  <c r="AP36" i="1"/>
  <c r="AP16" i="1"/>
  <c r="AP134" i="1"/>
  <c r="AP114" i="1"/>
  <c r="AP94" i="1"/>
  <c r="AP74" i="1"/>
  <c r="AP54" i="1"/>
  <c r="AP34" i="1"/>
  <c r="AP14" i="1"/>
  <c r="AP140" i="1"/>
  <c r="AP120" i="1"/>
  <c r="AP100" i="1"/>
  <c r="AP80" i="1"/>
  <c r="AP60" i="1"/>
  <c r="AP40" i="1"/>
  <c r="AP20" i="1"/>
  <c r="AP138" i="1"/>
  <c r="AP118" i="1"/>
  <c r="AP98" i="1"/>
  <c r="AP78" i="1"/>
  <c r="AP58" i="1"/>
  <c r="AP38" i="1"/>
  <c r="AP18" i="1"/>
  <c r="AP137" i="1"/>
  <c r="AP117" i="1"/>
  <c r="AP97" i="1"/>
  <c r="AP77" i="1"/>
  <c r="AP57" i="1"/>
  <c r="AP37" i="1"/>
  <c r="AP17" i="1"/>
  <c r="AQ20" i="1"/>
  <c r="AQ31" i="1"/>
  <c r="AQ14" i="1"/>
  <c r="AQ148" i="1"/>
  <c r="AQ128" i="1"/>
  <c r="AQ108" i="1"/>
  <c r="AQ88" i="1"/>
  <c r="AQ68" i="1"/>
  <c r="AQ48" i="1"/>
  <c r="AQ28" i="1"/>
  <c r="AQ8" i="1"/>
  <c r="AP106" i="1"/>
  <c r="AP66" i="1"/>
  <c r="AP6" i="1"/>
  <c r="AP125" i="1"/>
  <c r="AP105" i="1"/>
  <c r="AP65" i="1"/>
  <c r="AP25" i="1"/>
  <c r="AP86" i="1"/>
  <c r="AP46" i="1"/>
  <c r="AP26" i="1"/>
  <c r="AP145" i="1"/>
  <c r="AP85" i="1"/>
  <c r="AP45" i="1"/>
  <c r="AP5" i="1"/>
  <c r="AP143" i="1"/>
  <c r="AP123" i="1"/>
  <c r="AP103" i="1"/>
  <c r="AP83" i="1"/>
  <c r="AP63" i="1"/>
  <c r="AP43" i="1"/>
  <c r="AP23" i="1"/>
  <c r="AP3" i="1"/>
  <c r="AP126" i="1"/>
  <c r="AP141" i="1"/>
  <c r="AP121" i="1"/>
  <c r="AP101" i="1"/>
  <c r="AP81" i="1"/>
  <c r="AP61" i="1"/>
  <c r="AP41" i="1"/>
  <c r="AP21" i="1"/>
  <c r="AQ11" i="1"/>
  <c r="AP146" i="1"/>
  <c r="AP139" i="1"/>
  <c r="AP119" i="1"/>
  <c r="AP99" i="1"/>
  <c r="AP79" i="1"/>
  <c r="AP59" i="1"/>
  <c r="AP39" i="1"/>
  <c r="AP19" i="1"/>
  <c r="AQ141" i="1"/>
  <c r="AQ121" i="1"/>
  <c r="AQ101" i="1"/>
  <c r="AQ81" i="1"/>
  <c r="AQ61" i="1"/>
  <c r="AQ41" i="1"/>
  <c r="AQ21" i="1"/>
  <c r="AQ137" i="1"/>
  <c r="AQ117" i="1"/>
  <c r="AQ97" i="1"/>
  <c r="AQ77" i="1"/>
  <c r="AQ57" i="1"/>
  <c r="AQ37" i="1"/>
  <c r="AQ17" i="1"/>
  <c r="AQ16" i="1"/>
  <c r="AQ40" i="1"/>
  <c r="AQ79" i="1"/>
  <c r="AQ138" i="1"/>
  <c r="AQ98" i="1"/>
  <c r="AQ136" i="1"/>
  <c r="AQ116" i="1"/>
  <c r="AQ96" i="1"/>
  <c r="AQ76" i="1"/>
  <c r="AQ56" i="1"/>
  <c r="AQ36" i="1"/>
  <c r="AP135" i="1"/>
  <c r="AP115" i="1"/>
  <c r="AP95" i="1"/>
  <c r="AP75" i="1"/>
  <c r="AP55" i="1"/>
  <c r="AP35" i="1"/>
  <c r="AP15" i="1"/>
  <c r="AQ135" i="1"/>
  <c r="AQ115" i="1"/>
  <c r="AQ95" i="1"/>
  <c r="AQ75" i="1"/>
  <c r="AQ55" i="1"/>
  <c r="AQ35" i="1"/>
  <c r="AQ15" i="1"/>
  <c r="AQ140" i="1"/>
  <c r="AQ119" i="1"/>
  <c r="AQ118" i="1"/>
  <c r="AQ134" i="1"/>
  <c r="AQ114" i="1"/>
  <c r="AQ94" i="1"/>
  <c r="AQ74" i="1"/>
  <c r="AQ54" i="1"/>
  <c r="AQ34" i="1"/>
  <c r="AQ133" i="1"/>
  <c r="AQ113" i="1"/>
  <c r="AQ93" i="1"/>
  <c r="AQ73" i="1"/>
  <c r="AQ53" i="1"/>
  <c r="AQ33" i="1"/>
  <c r="AQ13" i="1"/>
  <c r="AQ12" i="1"/>
  <c r="AQ120" i="1"/>
  <c r="AQ39" i="1"/>
  <c r="AQ18" i="1"/>
  <c r="AQ112" i="1"/>
  <c r="AQ92" i="1"/>
  <c r="AQ72" i="1"/>
  <c r="AQ32" i="1"/>
  <c r="AP131" i="1"/>
  <c r="AP91" i="1"/>
  <c r="AP51" i="1"/>
  <c r="AP11" i="1"/>
  <c r="AQ91" i="1"/>
  <c r="AP150" i="1"/>
  <c r="AP130" i="1"/>
  <c r="AP110" i="1"/>
  <c r="AP90" i="1"/>
  <c r="AP70" i="1"/>
  <c r="AP50" i="1"/>
  <c r="AP30" i="1"/>
  <c r="AP10" i="1"/>
  <c r="AQ150" i="1"/>
  <c r="AQ130" i="1"/>
  <c r="AQ110" i="1"/>
  <c r="AQ90" i="1"/>
  <c r="AQ70" i="1"/>
  <c r="AQ50" i="1"/>
  <c r="AQ30" i="1"/>
  <c r="AQ10" i="1"/>
  <c r="AQ100" i="1"/>
  <c r="AQ19" i="1"/>
  <c r="AQ38" i="1"/>
  <c r="AQ132" i="1"/>
  <c r="AQ52" i="1"/>
  <c r="AP151" i="1"/>
  <c r="AP111" i="1"/>
  <c r="AP71" i="1"/>
  <c r="AP31" i="1"/>
  <c r="AQ131" i="1"/>
  <c r="AQ111" i="1"/>
  <c r="AQ71" i="1"/>
  <c r="AQ51" i="1"/>
  <c r="AP149" i="1"/>
  <c r="AP129" i="1"/>
  <c r="AP109" i="1"/>
  <c r="AP89" i="1"/>
  <c r="AP69" i="1"/>
  <c r="AP49" i="1"/>
  <c r="AP29" i="1"/>
  <c r="AP9" i="1"/>
  <c r="AQ149" i="1"/>
  <c r="AQ129" i="1"/>
  <c r="AQ109" i="1"/>
  <c r="AQ89" i="1"/>
  <c r="AQ69" i="1"/>
  <c r="AQ49" i="1"/>
  <c r="AQ29" i="1"/>
  <c r="AQ9" i="1"/>
  <c r="AP148" i="1"/>
  <c r="AP128" i="1"/>
  <c r="AP108" i="1"/>
  <c r="AP88" i="1"/>
  <c r="AP68" i="1"/>
  <c r="AP48" i="1"/>
  <c r="AP28" i="1"/>
  <c r="AP8" i="1"/>
  <c r="AP147" i="1"/>
  <c r="AP127" i="1"/>
  <c r="AP107" i="1"/>
  <c r="AP87" i="1"/>
  <c r="AP67" i="1"/>
  <c r="AP47" i="1"/>
  <c r="AP27" i="1"/>
  <c r="AP7" i="1"/>
  <c r="AQ147" i="1"/>
  <c r="AQ127" i="1"/>
  <c r="AQ107" i="1"/>
  <c r="AQ87" i="1"/>
  <c r="AQ67" i="1"/>
  <c r="AQ47" i="1"/>
  <c r="AQ27" i="1"/>
  <c r="AQ7" i="1"/>
  <c r="AQ146" i="1"/>
  <c r="AQ126" i="1"/>
  <c r="AQ106" i="1"/>
  <c r="AQ86" i="1"/>
  <c r="AQ66" i="1"/>
  <c r="AQ46" i="1"/>
  <c r="AQ26" i="1"/>
  <c r="AQ6" i="1"/>
  <c r="AQ60" i="1"/>
  <c r="AQ139" i="1"/>
  <c r="AQ99" i="1"/>
  <c r="AQ78" i="1"/>
  <c r="AQ145" i="1"/>
  <c r="AQ125" i="1"/>
  <c r="AQ105" i="1"/>
  <c r="AQ85" i="1"/>
  <c r="AQ65" i="1"/>
  <c r="AQ45" i="1"/>
  <c r="AQ25" i="1"/>
  <c r="AP144" i="1"/>
  <c r="AP124" i="1"/>
  <c r="AP104" i="1"/>
  <c r="AP84" i="1"/>
  <c r="AP64" i="1"/>
  <c r="AP44" i="1"/>
  <c r="AP24" i="1"/>
  <c r="AP4" i="1"/>
  <c r="AQ144" i="1"/>
  <c r="AQ124" i="1"/>
  <c r="AQ104" i="1"/>
  <c r="AQ84" i="1"/>
  <c r="AQ64" i="1"/>
  <c r="AQ44" i="1"/>
  <c r="AQ24" i="1"/>
  <c r="AQ4" i="1"/>
  <c r="AQ143" i="1"/>
  <c r="AQ123" i="1"/>
  <c r="AQ103" i="1"/>
  <c r="AQ83" i="1"/>
  <c r="AQ63" i="1"/>
  <c r="AQ43" i="1"/>
  <c r="AQ23" i="1"/>
  <c r="AQ3" i="1"/>
  <c r="AQ80" i="1"/>
  <c r="AQ59" i="1"/>
  <c r="AQ58" i="1"/>
  <c r="AP142" i="1"/>
  <c r="AP122" i="1"/>
  <c r="AP102" i="1"/>
  <c r="AP82" i="1"/>
  <c r="AP62" i="1"/>
  <c r="AP42" i="1"/>
  <c r="AP22" i="1"/>
  <c r="AP2" i="1"/>
  <c r="AQ142" i="1"/>
  <c r="AQ122" i="1"/>
  <c r="AQ102" i="1"/>
  <c r="AQ82" i="1"/>
  <c r="AQ62" i="1"/>
  <c r="AQ42" i="1"/>
  <c r="AQ22" i="1"/>
  <c r="AQ2" i="1"/>
</calcChain>
</file>

<file path=xl/sharedStrings.xml><?xml version="1.0" encoding="utf-8"?>
<sst xmlns="http://schemas.openxmlformats.org/spreadsheetml/2006/main" count="5264" uniqueCount="948">
  <si>
    <t>Patient ID</t>
  </si>
  <si>
    <t>First Name</t>
  </si>
  <si>
    <t>Last Name</t>
  </si>
  <si>
    <t>Age</t>
  </si>
  <si>
    <t>Gender</t>
  </si>
  <si>
    <t>Date of Birth</t>
  </si>
  <si>
    <t>Phone</t>
  </si>
  <si>
    <t>Email</t>
  </si>
  <si>
    <t>City</t>
  </si>
  <si>
    <t>Visit Date</t>
  </si>
  <si>
    <t>Visit Type</t>
  </si>
  <si>
    <t>Primary Diagnosis</t>
  </si>
  <si>
    <t>Blood Pressure</t>
  </si>
  <si>
    <t>Temperature C</t>
  </si>
  <si>
    <t>Weight kg</t>
  </si>
  <si>
    <t>Insurance Provider</t>
  </si>
  <si>
    <t>Total Bill</t>
  </si>
  <si>
    <t>Amount Paid</t>
  </si>
  <si>
    <t>Payment Status</t>
  </si>
  <si>
    <t>Clinician</t>
  </si>
  <si>
    <t>Notes</t>
  </si>
  <si>
    <t>p0001</t>
  </si>
  <si>
    <t>Abena</t>
  </si>
  <si>
    <t>Adebayo</t>
  </si>
  <si>
    <t>unknown</t>
  </si>
  <si>
    <t>Other</t>
  </si>
  <si>
    <t>+233 24 328 3286</t>
  </si>
  <si>
    <t>not available</t>
  </si>
  <si>
    <t>Ibadan</t>
  </si>
  <si>
    <t>2026-01-09</t>
  </si>
  <si>
    <t>Vaccination</t>
  </si>
  <si>
    <t>Malaria</t>
  </si>
  <si>
    <t>105</t>
  </si>
  <si>
    <t>normal</t>
  </si>
  <si>
    <t>97.7</t>
  </si>
  <si>
    <t>Corporate</t>
  </si>
  <si>
    <t>74.34</t>
  </si>
  <si>
    <t>one hundred</t>
  </si>
  <si>
    <t>Partially Paid</t>
  </si>
  <si>
    <t>Dr Okoro</t>
  </si>
  <si>
    <t>Needs follow-up</t>
  </si>
  <si>
    <t>PAT2</t>
  </si>
  <si>
    <t>Mary</t>
  </si>
  <si>
    <t>Osei</t>
  </si>
  <si>
    <t>+233 24 718 5333</t>
  </si>
  <si>
    <t>mary.osei@email.com</t>
  </si>
  <si>
    <t>Tema</t>
  </si>
  <si>
    <t>May 22, 2026</t>
  </si>
  <si>
    <t>Routine Checkup</t>
  </si>
  <si>
    <t>None</t>
  </si>
  <si>
    <t>168/72</t>
  </si>
  <si>
    <t>PRIVATE</t>
  </si>
  <si>
    <t>501.05</t>
  </si>
  <si>
    <t>0</t>
  </si>
  <si>
    <t>Dr. Lee</t>
  </si>
  <si>
    <t>p0003</t>
  </si>
  <si>
    <t>Ibrahim</t>
  </si>
  <si>
    <t>Ali</t>
  </si>
  <si>
    <t>88</t>
  </si>
  <si>
    <t>Femal</t>
  </si>
  <si>
    <t>1938-09-24</t>
  </si>
  <si>
    <t>55555</t>
  </si>
  <si>
    <t>ibrahim.ali@email.com</t>
  </si>
  <si>
    <t>Tamale</t>
  </si>
  <si>
    <t>2026-02-28</t>
  </si>
  <si>
    <t>hypertension</t>
  </si>
  <si>
    <t>99.5</t>
  </si>
  <si>
    <t>486.93</t>
  </si>
  <si>
    <t>paid</t>
  </si>
  <si>
    <t>DR MENSAH</t>
  </si>
  <si>
    <t>P-0004</t>
  </si>
  <si>
    <t>Samuel</t>
  </si>
  <si>
    <t>Owusu</t>
  </si>
  <si>
    <t>-3</t>
  </si>
  <si>
    <t>female</t>
  </si>
  <si>
    <t>samuel_owusu@clinicmail.org</t>
  </si>
  <si>
    <t>Cape Coast</t>
  </si>
  <si>
    <t>Emergency</t>
  </si>
  <si>
    <t>Back pain</t>
  </si>
  <si>
    <t>127/95</t>
  </si>
  <si>
    <t>eighty</t>
  </si>
  <si>
    <t>NHIS</t>
  </si>
  <si>
    <t>241.34</t>
  </si>
  <si>
    <t>Dr. Patel</t>
  </si>
  <si>
    <t>P-0005</t>
  </si>
  <si>
    <t>Ruth</t>
  </si>
  <si>
    <t>Williams</t>
  </si>
  <si>
    <t>130</t>
  </si>
  <si>
    <t>Female</t>
  </si>
  <si>
    <t>823-303-3504</t>
  </si>
  <si>
    <t>ruth98@gmail</t>
  </si>
  <si>
    <t>Lagos</t>
  </si>
  <si>
    <t>2026/13/01</t>
  </si>
  <si>
    <t>Private</t>
  </si>
  <si>
    <t>552.73</t>
  </si>
  <si>
    <t>PENDING</t>
  </si>
  <si>
    <t>Nurse Amina</t>
  </si>
  <si>
    <t>Patient came late</t>
  </si>
  <si>
    <t>p0006</t>
  </si>
  <si>
    <t>Fatima</t>
  </si>
  <si>
    <t>Diallo</t>
  </si>
  <si>
    <t>Accra</t>
  </si>
  <si>
    <t>CONSULT</t>
  </si>
  <si>
    <t>Diabetes</t>
  </si>
  <si>
    <t>123/64</t>
  </si>
  <si>
    <t>3.8</t>
  </si>
  <si>
    <t>541.78</t>
  </si>
  <si>
    <t>244.61</t>
  </si>
  <si>
    <t>1007</t>
  </si>
  <si>
    <t>David</t>
  </si>
  <si>
    <t>Kumasi</t>
  </si>
  <si>
    <t>follow up</t>
  </si>
  <si>
    <t>178/101</t>
  </si>
  <si>
    <t>37.3</t>
  </si>
  <si>
    <t>nhis</t>
  </si>
  <si>
    <t>290.87</t>
  </si>
  <si>
    <t>-10</t>
  </si>
  <si>
    <t>Refunded</t>
  </si>
  <si>
    <t>p0008</t>
  </si>
  <si>
    <t>Peter</t>
  </si>
  <si>
    <t>Taylor</t>
  </si>
  <si>
    <t>13</t>
  </si>
  <si>
    <t>2013-02-25</t>
  </si>
  <si>
    <t>+233 24 516 8956</t>
  </si>
  <si>
    <t>Hypertension</t>
  </si>
  <si>
    <t>169</t>
  </si>
  <si>
    <t>37.7</t>
  </si>
  <si>
    <t>173.82</t>
  </si>
  <si>
    <t>P-0009</t>
  </si>
  <si>
    <t>Kwame</t>
  </si>
  <si>
    <t>Mbeki</t>
  </si>
  <si>
    <t>kwame.mbeki@email.com</t>
  </si>
  <si>
    <t>Kano</t>
  </si>
  <si>
    <t>2026-06-08</t>
  </si>
  <si>
    <t>Follow-up</t>
  </si>
  <si>
    <t>56.5</t>
  </si>
  <si>
    <t>263.15</t>
  </si>
  <si>
    <t>Unpaid</t>
  </si>
  <si>
    <t>PAT10</t>
  </si>
  <si>
    <t>Clara</t>
  </si>
  <si>
    <t>Smith</t>
  </si>
  <si>
    <t>+233 24 261 8179</t>
  </si>
  <si>
    <t>clara_smith@clinicmail.org</t>
  </si>
  <si>
    <t>2026-03-18</t>
  </si>
  <si>
    <t>Consultation</t>
  </si>
  <si>
    <t>120-80</t>
  </si>
  <si>
    <t>564.58</t>
  </si>
  <si>
    <t>Paid</t>
  </si>
  <si>
    <t>Dr. Mensah</t>
  </si>
  <si>
    <t>p0011</t>
  </si>
  <si>
    <t>Joseph Williams</t>
  </si>
  <si>
    <t>M</t>
  </si>
  <si>
    <t>+233 24 859 8239</t>
  </si>
  <si>
    <t>joseph89@gmail</t>
  </si>
  <si>
    <t>2026-05-20</t>
  </si>
  <si>
    <t>Migraine</t>
  </si>
  <si>
    <t>37.1</t>
  </si>
  <si>
    <t>504.07</t>
  </si>
  <si>
    <t>293.63</t>
  </si>
  <si>
    <t>missing lab results</t>
  </si>
  <si>
    <t>1012</t>
  </si>
  <si>
    <t>Emeka</t>
  </si>
  <si>
    <t>Johnson</t>
  </si>
  <si>
    <t>male</t>
  </si>
  <si>
    <t>621-921-5065</t>
  </si>
  <si>
    <t>emeka.johnson@email.com</t>
  </si>
  <si>
    <t>2026-04-08</t>
  </si>
  <si>
    <t>Pregnancy</t>
  </si>
  <si>
    <t>100.9</t>
  </si>
  <si>
    <t>41.4</t>
  </si>
  <si>
    <t>517.98</t>
  </si>
  <si>
    <t>allergy: penicillin</t>
  </si>
  <si>
    <t>1013</t>
  </si>
  <si>
    <t>Chinedu</t>
  </si>
  <si>
    <t>Addo</t>
  </si>
  <si>
    <t>34</t>
  </si>
  <si>
    <t>N/A</t>
  </si>
  <si>
    <t>chinedu74@gmail</t>
  </si>
  <si>
    <t>2026-03-07</t>
  </si>
  <si>
    <t>high</t>
  </si>
  <si>
    <t>75.9</t>
  </si>
  <si>
    <t>431.1</t>
  </si>
  <si>
    <t>1014</t>
  </si>
  <si>
    <t>mal</t>
  </si>
  <si>
    <t>615-661-1006</t>
  </si>
  <si>
    <t>david37@gmail</t>
  </si>
  <si>
    <t>107</t>
  </si>
  <si>
    <t>371.86</t>
  </si>
  <si>
    <t>1015</t>
  </si>
  <si>
    <t>Mensah</t>
  </si>
  <si>
    <t>103.6</t>
  </si>
  <si>
    <t>161.51</t>
  </si>
  <si>
    <t>1016</t>
  </si>
  <si>
    <t>Blessing</t>
  </si>
  <si>
    <t>blessing81@gmail</t>
  </si>
  <si>
    <t>Skin rash</t>
  </si>
  <si>
    <t>194</t>
  </si>
  <si>
    <t>96.4</t>
  </si>
  <si>
    <t>64.94</t>
  </si>
  <si>
    <t>PAT17</t>
  </si>
  <si>
    <t>Musa</t>
  </si>
  <si>
    <t>75</t>
  </si>
  <si>
    <t>01/08/1950</t>
  </si>
  <si>
    <t>Feb 26, 2026</t>
  </si>
  <si>
    <t>300</t>
  </si>
  <si>
    <t>272.78</t>
  </si>
  <si>
    <t>p0018</t>
  </si>
  <si>
    <t>kwame.ali@email.com</t>
  </si>
  <si>
    <t>2026-05-01</t>
  </si>
  <si>
    <t>123/101</t>
  </si>
  <si>
    <t>454.43</t>
  </si>
  <si>
    <t>Nurse ama</t>
  </si>
  <si>
    <t>Victoria</t>
  </si>
  <si>
    <t>518-210-1420</t>
  </si>
  <si>
    <t>12/04/2026</t>
  </si>
  <si>
    <t>39.7</t>
  </si>
  <si>
    <t>64.08</t>
  </si>
  <si>
    <t>p0020</t>
  </si>
  <si>
    <t>Ama</t>
  </si>
  <si>
    <t>Yakubu</t>
  </si>
  <si>
    <t>63</t>
  </si>
  <si>
    <t>27/11/1962</t>
  </si>
  <si>
    <t>Abuja</t>
  </si>
  <si>
    <t>Jun 01, 2026</t>
  </si>
  <si>
    <t>DIABETES</t>
  </si>
  <si>
    <t>206.94</t>
  </si>
  <si>
    <t>P-0021</t>
  </si>
  <si>
    <t>accra</t>
  </si>
  <si>
    <t>2026-04-25</t>
  </si>
  <si>
    <t>Flu</t>
  </si>
  <si>
    <t>164</t>
  </si>
  <si>
    <t>73.97</t>
  </si>
  <si>
    <t>p0022</t>
  </si>
  <si>
    <t>Joseph</t>
  </si>
  <si>
    <t>Male</t>
  </si>
  <si>
    <t>joseph.adebayo@email.com</t>
  </si>
  <si>
    <t>Feb 19, 2026</t>
  </si>
  <si>
    <t>163/68</t>
  </si>
  <si>
    <t>-5</t>
  </si>
  <si>
    <t>151.94</t>
  </si>
  <si>
    <t>P-0023</t>
  </si>
  <si>
    <t>Aisha</t>
  </si>
  <si>
    <t>Bello</t>
  </si>
  <si>
    <t>15</t>
  </si>
  <si>
    <t>10-21-2011</t>
  </si>
  <si>
    <t>100.3</t>
  </si>
  <si>
    <t>478.63</t>
  </si>
  <si>
    <t>P-0024</t>
  </si>
  <si>
    <t>F</t>
  </si>
  <si>
    <t>661-805-8699</t>
  </si>
  <si>
    <t>chinedu5@gmail</t>
  </si>
  <si>
    <t>Mar 15, 2026</t>
  </si>
  <si>
    <t>180</t>
  </si>
  <si>
    <t>103.4</t>
  </si>
  <si>
    <t>427.73</t>
  </si>
  <si>
    <t>1025</t>
  </si>
  <si>
    <t>Jun 04, 2026</t>
  </si>
  <si>
    <t>35.0</t>
  </si>
  <si>
    <t>PAT26</t>
  </si>
  <si>
    <t>Sarah</t>
  </si>
  <si>
    <t>Acheampong</t>
  </si>
  <si>
    <t>42</t>
  </si>
  <si>
    <t>23/07/1983</t>
  </si>
  <si>
    <t>665-190-6153</t>
  </si>
  <si>
    <t>sarah.acheampong@email.com</t>
  </si>
  <si>
    <t>100.6</t>
  </si>
  <si>
    <t>76.2</t>
  </si>
  <si>
    <t>498.46</t>
  </si>
  <si>
    <t>p0027</t>
  </si>
  <si>
    <t>Kamara</t>
  </si>
  <si>
    <t>ama16@gmail</t>
  </si>
  <si>
    <t>May 08, 2026</t>
  </si>
  <si>
    <t>138</t>
  </si>
  <si>
    <t>315.15</t>
  </si>
  <si>
    <t>Repeated record?</t>
  </si>
  <si>
    <t>1028</t>
  </si>
  <si>
    <t>Yusuf</t>
  </si>
  <si>
    <t>yusuf_owusu@clinicmail.org</t>
  </si>
  <si>
    <t>09/04/2026</t>
  </si>
  <si>
    <t>61.0</t>
  </si>
  <si>
    <t>516.49</t>
  </si>
  <si>
    <t>1029</t>
  </si>
  <si>
    <t>Cole</t>
  </si>
  <si>
    <t>680-900-5342</t>
  </si>
  <si>
    <t>Jan 21, 2026</t>
  </si>
  <si>
    <t>39.8</t>
  </si>
  <si>
    <t>514.36</t>
  </si>
  <si>
    <t>P-0030</t>
  </si>
  <si>
    <t>clara_mensah@clinicmail.org</t>
  </si>
  <si>
    <t>Enugu</t>
  </si>
  <si>
    <t>16/02/2026</t>
  </si>
  <si>
    <t>96.3</t>
  </si>
  <si>
    <t>121.54</t>
  </si>
  <si>
    <t>PAT31</t>
  </si>
  <si>
    <t>abena_yakubu@clinicmail.org</t>
  </si>
  <si>
    <t>Mar 17, 2026</t>
  </si>
  <si>
    <t>Lab test</t>
  </si>
  <si>
    <t>COVID-19</t>
  </si>
  <si>
    <t>130/60</t>
  </si>
  <si>
    <t>32.72</t>
  </si>
  <si>
    <t>p0032</t>
  </si>
  <si>
    <t>81</t>
  </si>
  <si>
    <t>19/01/1944</t>
  </si>
  <si>
    <t>0246481437</t>
  </si>
  <si>
    <t>abena_adebayo@clinicmail.org</t>
  </si>
  <si>
    <t>39.2</t>
  </si>
  <si>
    <t>57.8</t>
  </si>
  <si>
    <t>311.04</t>
  </si>
  <si>
    <t>84.77</t>
  </si>
  <si>
    <t>PAT33</t>
  </si>
  <si>
    <t>16.7</t>
  </si>
  <si>
    <t>532.86</t>
  </si>
  <si>
    <t>1034</t>
  </si>
  <si>
    <t>Abiola</t>
  </si>
  <si>
    <t>Jan 09, 2026</t>
  </si>
  <si>
    <t>146.02</t>
  </si>
  <si>
    <t>64.93</t>
  </si>
  <si>
    <t>800-321-4817</t>
  </si>
  <si>
    <t>kwame_acheampong@clinicmail.org</t>
  </si>
  <si>
    <t>Jan 01, 2026</t>
  </si>
  <si>
    <t>517.88</t>
  </si>
  <si>
    <t>74.93</t>
  </si>
  <si>
    <t>PAT36</t>
  </si>
  <si>
    <t>Michael</t>
  </si>
  <si>
    <t>michael_smith@clinicmail.org</t>
  </si>
  <si>
    <t>146/87</t>
  </si>
  <si>
    <t>37.8</t>
  </si>
  <si>
    <t>393.14</t>
  </si>
  <si>
    <t>P-0037</t>
  </si>
  <si>
    <t>38.8</t>
  </si>
  <si>
    <t>443.18</t>
  </si>
  <si>
    <t>1038</t>
  </si>
  <si>
    <t>+233 24 988 1842</t>
  </si>
  <si>
    <t>ibrahim_adebayo@clinicmail.org</t>
  </si>
  <si>
    <t>24/02/2026</t>
  </si>
  <si>
    <t>139/95</t>
  </si>
  <si>
    <t>100.2</t>
  </si>
  <si>
    <t>400.91</t>
  </si>
  <si>
    <t>p0039</t>
  </si>
  <si>
    <t>45</t>
  </si>
  <si>
    <t>+233 24 679 7566</t>
  </si>
  <si>
    <t>emeka_acheampong@clinicmail.org</t>
  </si>
  <si>
    <t>121</t>
  </si>
  <si>
    <t>263.5</t>
  </si>
  <si>
    <t>Boateng</t>
  </si>
  <si>
    <t>66</t>
  </si>
  <si>
    <t>05-22-1960</t>
  </si>
  <si>
    <t>aisha.boateng@email.com</t>
  </si>
  <si>
    <t>Feb 22, 2026</t>
  </si>
  <si>
    <t>132/80</t>
  </si>
  <si>
    <t>568.29</t>
  </si>
  <si>
    <t>+233 24 539 7626</t>
  </si>
  <si>
    <t>ama42@gmail</t>
  </si>
  <si>
    <t>99.7</t>
  </si>
  <si>
    <t>502.58</t>
  </si>
  <si>
    <t>p0042</t>
  </si>
  <si>
    <t>Linda</t>
  </si>
  <si>
    <t>Lawal</t>
  </si>
  <si>
    <t>linda10@gmail</t>
  </si>
  <si>
    <t>198</t>
  </si>
  <si>
    <t>289.09</t>
  </si>
  <si>
    <t>1043</t>
  </si>
  <si>
    <t>+233 24 562 1616</t>
  </si>
  <si>
    <t>linda.mbeki@email.com</t>
  </si>
  <si>
    <t>196</t>
  </si>
  <si>
    <t>97.9</t>
  </si>
  <si>
    <t>61.7</t>
  </si>
  <si>
    <t>GHS 314.1</t>
  </si>
  <si>
    <t>p0044</t>
  </si>
  <si>
    <t>peter.mbeki@email.com</t>
  </si>
  <si>
    <t>Jun 11, 2026</t>
  </si>
  <si>
    <t>112</t>
  </si>
  <si>
    <t>58.23</t>
  </si>
  <si>
    <t>P-0045</t>
  </si>
  <si>
    <t>Adams</t>
  </si>
  <si>
    <t>570-118-6940</t>
  </si>
  <si>
    <t>ibrahim24@gmail</t>
  </si>
  <si>
    <t>104/78</t>
  </si>
  <si>
    <t>37.9</t>
  </si>
  <si>
    <t>131.36</t>
  </si>
  <si>
    <t>PAT46</t>
  </si>
  <si>
    <t>0248452417</t>
  </si>
  <si>
    <t>michael69@gmail</t>
  </si>
  <si>
    <t>544.31</t>
  </si>
  <si>
    <t>P-0047</t>
  </si>
  <si>
    <t>victoria12@gmail</t>
  </si>
  <si>
    <t>Apr 26, 2026</t>
  </si>
  <si>
    <t>40.5</t>
  </si>
  <si>
    <t>40.3</t>
  </si>
  <si>
    <t>559.67</t>
  </si>
  <si>
    <t>Nana</t>
  </si>
  <si>
    <t>nana_adams@clinicmail.org</t>
  </si>
  <si>
    <t>38.6</t>
  </si>
  <si>
    <t>84.49</t>
  </si>
  <si>
    <t>Eze</t>
  </si>
  <si>
    <t>ama_eze@clinicmail.org</t>
  </si>
  <si>
    <t>43.3</t>
  </si>
  <si>
    <t>31.79</t>
  </si>
  <si>
    <t>p0050</t>
  </si>
  <si>
    <t>0241620485</t>
  </si>
  <si>
    <t>36.7</t>
  </si>
  <si>
    <t>450.00</t>
  </si>
  <si>
    <t>2026-01-27</t>
  </si>
  <si>
    <t>38.9</t>
  </si>
  <si>
    <t>210.19</t>
  </si>
  <si>
    <t>P-0052</t>
  </si>
  <si>
    <t>997-760-7001</t>
  </si>
  <si>
    <t>ama_owusu@clinicmail.org</t>
  </si>
  <si>
    <t>142/88</t>
  </si>
  <si>
    <t>99.8</t>
  </si>
  <si>
    <t>108.99</t>
  </si>
  <si>
    <t>Jan 23, 2026</t>
  </si>
  <si>
    <t>Asthma</t>
  </si>
  <si>
    <t>GHS 407.35</t>
  </si>
  <si>
    <t>P-0054</t>
  </si>
  <si>
    <t>2026-05-28</t>
  </si>
  <si>
    <t>167</t>
  </si>
  <si>
    <t>92.69</t>
  </si>
  <si>
    <t>0245204459</t>
  </si>
  <si>
    <t>101</t>
  </si>
  <si>
    <t>39.0</t>
  </si>
  <si>
    <t>99.6</t>
  </si>
  <si>
    <t>74.19</t>
  </si>
  <si>
    <t>PAT56</t>
  </si>
  <si>
    <t>Esther</t>
  </si>
  <si>
    <t>esther8@gmail</t>
  </si>
  <si>
    <t>102.7</t>
  </si>
  <si>
    <t>300.87</t>
  </si>
  <si>
    <t>1057</t>
  </si>
  <si>
    <t>18/02/2026</t>
  </si>
  <si>
    <t>134/91</t>
  </si>
  <si>
    <t>308.99</t>
  </si>
  <si>
    <t>1058</t>
  </si>
  <si>
    <t>252-683-4189</t>
  </si>
  <si>
    <t>174/103</t>
  </si>
  <si>
    <t>312.47</t>
  </si>
  <si>
    <t>0249648751</t>
  </si>
  <si>
    <t>fatima_adams@clinicmail.org</t>
  </si>
  <si>
    <t>215.1</t>
  </si>
  <si>
    <t>p0060</t>
  </si>
  <si>
    <t>Okafor</t>
  </si>
  <si>
    <t>michael.okafor@email.com</t>
  </si>
  <si>
    <t>2026-02-18</t>
  </si>
  <si>
    <t>144</t>
  </si>
  <si>
    <t>40.1</t>
  </si>
  <si>
    <t>275.8</t>
  </si>
  <si>
    <t>PAT61</t>
  </si>
  <si>
    <t>emeka39@gmail</t>
  </si>
  <si>
    <t>Mar 18, 2026</t>
  </si>
  <si>
    <t>124</t>
  </si>
  <si>
    <t>428.84</t>
  </si>
  <si>
    <t>1062</t>
  </si>
  <si>
    <t>Daniel</t>
  </si>
  <si>
    <t>37</t>
  </si>
  <si>
    <t>11-09-1988</t>
  </si>
  <si>
    <t>0245548852</t>
  </si>
  <si>
    <t>daniel_okafor@clinicmail.org</t>
  </si>
  <si>
    <t>31/05/2026</t>
  </si>
  <si>
    <t>123/100</t>
  </si>
  <si>
    <t>98.0</t>
  </si>
  <si>
    <t>160.63</t>
  </si>
  <si>
    <t>Brown</t>
  </si>
  <si>
    <t>83</t>
  </si>
  <si>
    <t>1943-11-19</t>
  </si>
  <si>
    <t>+233 24 856 1611</t>
  </si>
  <si>
    <t>Feb 17, 2026</t>
  </si>
  <si>
    <t>103.9</t>
  </si>
  <si>
    <t>528.51</t>
  </si>
  <si>
    <t>p0064</t>
  </si>
  <si>
    <t>24</t>
  </si>
  <si>
    <t>2001-10-22</t>
  </si>
  <si>
    <t>abena.ali@email.com</t>
  </si>
  <si>
    <t>17/02/2026</t>
  </si>
  <si>
    <t>296.92</t>
  </si>
  <si>
    <t>PAT65</t>
  </si>
  <si>
    <t>Ndlovu</t>
  </si>
  <si>
    <t>0245949909</t>
  </si>
  <si>
    <t>176</t>
  </si>
  <si>
    <t>453.69</t>
  </si>
  <si>
    <t>kwame15@gmail</t>
  </si>
  <si>
    <t>95.5</t>
  </si>
  <si>
    <t>72.75</t>
  </si>
  <si>
    <t>PAT67</t>
  </si>
  <si>
    <t>1981-02-16</t>
  </si>
  <si>
    <t>984-756-7887</t>
  </si>
  <si>
    <t>66.54</t>
  </si>
  <si>
    <t>PAT68</t>
  </si>
  <si>
    <t>0241540516</t>
  </si>
  <si>
    <t>samuel.cole@email.com</t>
  </si>
  <si>
    <t>101/75</t>
  </si>
  <si>
    <t>91.3</t>
  </si>
  <si>
    <t>39.47</t>
  </si>
  <si>
    <t>p0069</t>
  </si>
  <si>
    <t>47.19</t>
  </si>
  <si>
    <t>1070</t>
  </si>
  <si>
    <t>sarah.taylor@email.com</t>
  </si>
  <si>
    <t>18/05/2026</t>
  </si>
  <si>
    <t>172/62</t>
  </si>
  <si>
    <t>49.89</t>
  </si>
  <si>
    <t>1071</t>
  </si>
  <si>
    <t>Mar 08, 2026</t>
  </si>
  <si>
    <t>98.3</t>
  </si>
  <si>
    <t>317.43</t>
  </si>
  <si>
    <t>1072</t>
  </si>
  <si>
    <t>28/04/2026</t>
  </si>
  <si>
    <t>103</t>
  </si>
  <si>
    <t>40.4</t>
  </si>
  <si>
    <t>101.2</t>
  </si>
  <si>
    <t>445.01</t>
  </si>
  <si>
    <t>156.72</t>
  </si>
  <si>
    <t>P-0073</t>
  </si>
  <si>
    <t>Grace</t>
  </si>
  <si>
    <t>grace.mbeki@email.com</t>
  </si>
  <si>
    <t>39.5</t>
  </si>
  <si>
    <t>438.87</t>
  </si>
  <si>
    <t>p0074</t>
  </si>
  <si>
    <t>linda.osei@email.com</t>
  </si>
  <si>
    <t>69.2</t>
  </si>
  <si>
    <t>239.97</t>
  </si>
  <si>
    <t>PAT75</t>
  </si>
  <si>
    <t>73</t>
  </si>
  <si>
    <t>+233 24 116 4394</t>
  </si>
  <si>
    <t>clara39@gmail</t>
  </si>
  <si>
    <t>25/05/2026</t>
  </si>
  <si>
    <t>39.4</t>
  </si>
  <si>
    <t>348.68</t>
  </si>
  <si>
    <t>1076</t>
  </si>
  <si>
    <t>0246969521</t>
  </si>
  <si>
    <t>nana_acheampong@clinicmail.org</t>
  </si>
  <si>
    <t>467.86</t>
  </si>
  <si>
    <t>138.2</t>
  </si>
  <si>
    <t>1077</t>
  </si>
  <si>
    <t>305-126-2468</t>
  </si>
  <si>
    <t>fatima.smith@email.com</t>
  </si>
  <si>
    <t>132/86</t>
  </si>
  <si>
    <t>474.97</t>
  </si>
  <si>
    <t>PAT78</t>
  </si>
  <si>
    <t>chinedu79@gmail</t>
  </si>
  <si>
    <t>2026-04-28</t>
  </si>
  <si>
    <t>98.58</t>
  </si>
  <si>
    <t>PAT79</t>
  </si>
  <si>
    <t>Hannah</t>
  </si>
  <si>
    <t>hannah70@gmail</t>
  </si>
  <si>
    <t>2026-05-21</t>
  </si>
  <si>
    <t>95.6</t>
  </si>
  <si>
    <t>572.74</t>
  </si>
  <si>
    <t>+233 24 510 9755</t>
  </si>
  <si>
    <t>mary_cole@clinicmail.org</t>
  </si>
  <si>
    <t>2026-06-02</t>
  </si>
  <si>
    <t>162</t>
  </si>
  <si>
    <t>83.43</t>
  </si>
  <si>
    <t>+233 24 807 9199</t>
  </si>
  <si>
    <t>2026-01-22</t>
  </si>
  <si>
    <t>38.0</t>
  </si>
  <si>
    <t>GHS 502.16</t>
  </si>
  <si>
    <t>p0082</t>
  </si>
  <si>
    <t>0246553084</t>
  </si>
  <si>
    <t>ibrahim52@gmail</t>
  </si>
  <si>
    <t>91.0</t>
  </si>
  <si>
    <t>249.44</t>
  </si>
  <si>
    <t>183.93</t>
  </si>
  <si>
    <t>69.16</t>
  </si>
  <si>
    <t>fatima_ndlovu@clinicmail.org</t>
  </si>
  <si>
    <t>90</t>
  </si>
  <si>
    <t>417.12</t>
  </si>
  <si>
    <t>+233 24 942 1681</t>
  </si>
  <si>
    <t>aisha95@gmail</t>
  </si>
  <si>
    <t>280.84</t>
  </si>
  <si>
    <t>hannah_abiola@clinicmail.org</t>
  </si>
  <si>
    <t>25/01/2026</t>
  </si>
  <si>
    <t>578.41</t>
  </si>
  <si>
    <t>1087</t>
  </si>
  <si>
    <t>95.2</t>
  </si>
  <si>
    <t>250.68</t>
  </si>
  <si>
    <t>242.69</t>
  </si>
  <si>
    <t>p0088</t>
  </si>
  <si>
    <t>480-195-6905</t>
  </si>
  <si>
    <t>2026-02-12</t>
  </si>
  <si>
    <t>124/87</t>
  </si>
  <si>
    <t>95.0</t>
  </si>
  <si>
    <t>249.88</t>
  </si>
  <si>
    <t>P-0089</t>
  </si>
  <si>
    <t>+233 24 334 7276</t>
  </si>
  <si>
    <t>18/03/2026</t>
  </si>
  <si>
    <t>177/103</t>
  </si>
  <si>
    <t>241.98</t>
  </si>
  <si>
    <t>196.82</t>
  </si>
  <si>
    <t>PAT90</t>
  </si>
  <si>
    <t>0243345961</t>
  </si>
  <si>
    <t>nana_adebayo@clinicmail.org</t>
  </si>
  <si>
    <t>106</t>
  </si>
  <si>
    <t>96.7</t>
  </si>
  <si>
    <t>37.6</t>
  </si>
  <si>
    <t>185.25</t>
  </si>
  <si>
    <t>+233 24 530 6986</t>
  </si>
  <si>
    <t>linda.acheampong@email.com</t>
  </si>
  <si>
    <t>Jan 04, 2026</t>
  </si>
  <si>
    <t>160</t>
  </si>
  <si>
    <t>98.8</t>
  </si>
  <si>
    <t>145.13</t>
  </si>
  <si>
    <t>P-0092</t>
  </si>
  <si>
    <t>51.92</t>
  </si>
  <si>
    <t>P-0093</t>
  </si>
  <si>
    <t>Tunde</t>
  </si>
  <si>
    <t>+233 24 369 2262</t>
  </si>
  <si>
    <t>tunde_yakubu@clinicmail.org</t>
  </si>
  <si>
    <t>Feb 12, 2026</t>
  </si>
  <si>
    <t>174</t>
  </si>
  <si>
    <t>35.2</t>
  </si>
  <si>
    <t>111.24</t>
  </si>
  <si>
    <t>PAT94</t>
  </si>
  <si>
    <t>0247254683</t>
  </si>
  <si>
    <t>samuel_acheampong@clinicmail.org</t>
  </si>
  <si>
    <t>91</t>
  </si>
  <si>
    <t>59.98</t>
  </si>
  <si>
    <t>P-0095</t>
  </si>
  <si>
    <t>754-454-1157</t>
  </si>
  <si>
    <t>2026-03-20</t>
  </si>
  <si>
    <t>103.3</t>
  </si>
  <si>
    <t>139.01</t>
  </si>
  <si>
    <t>p0096</t>
  </si>
  <si>
    <t>178</t>
  </si>
  <si>
    <t>96.0</t>
  </si>
  <si>
    <t>177.73</t>
  </si>
  <si>
    <t>13.27</t>
  </si>
  <si>
    <t>351-193-5066</t>
  </si>
  <si>
    <t>mary_ndlovu@clinicmail.org</t>
  </si>
  <si>
    <t>Jan 13, 2026</t>
  </si>
  <si>
    <t>151</t>
  </si>
  <si>
    <t>17.2</t>
  </si>
  <si>
    <t>170.9</t>
  </si>
  <si>
    <t>p0098</t>
  </si>
  <si>
    <t>0243055673</t>
  </si>
  <si>
    <t>25.35</t>
  </si>
  <si>
    <t>1099</t>
  </si>
  <si>
    <t>+233 24 304 9614</t>
  </si>
  <si>
    <t>473.23</t>
  </si>
  <si>
    <t>P-0100</t>
  </si>
  <si>
    <t>0247516648</t>
  </si>
  <si>
    <t>ibrahim_johnson@clinicmail.org</t>
  </si>
  <si>
    <t>Mar 23, 2026</t>
  </si>
  <si>
    <t>GHS 550.11</t>
  </si>
  <si>
    <t>PAT101</t>
  </si>
  <si>
    <t>joseph91@gmail</t>
  </si>
  <si>
    <t>179/85</t>
  </si>
  <si>
    <t>519.19</t>
  </si>
  <si>
    <t>p0102</t>
  </si>
  <si>
    <t>0247569981</t>
  </si>
  <si>
    <t>06/06/2026</t>
  </si>
  <si>
    <t>113/81</t>
  </si>
  <si>
    <t>77.4</t>
  </si>
  <si>
    <t>391.0</t>
  </si>
  <si>
    <t>1103</t>
  </si>
  <si>
    <t>1</t>
  </si>
  <si>
    <t>14/03/2024</t>
  </si>
  <si>
    <t>aisha84@gmail</t>
  </si>
  <si>
    <t>97/80</t>
  </si>
  <si>
    <t>96.5</t>
  </si>
  <si>
    <t>21.8</t>
  </si>
  <si>
    <t>62.75</t>
  </si>
  <si>
    <t>p0104</t>
  </si>
  <si>
    <t>Kofi</t>
  </si>
  <si>
    <t>21</t>
  </si>
  <si>
    <t>0245450404</t>
  </si>
  <si>
    <t>kofi.yakubu@email.com</t>
  </si>
  <si>
    <t>141/60</t>
  </si>
  <si>
    <t>101.0</t>
  </si>
  <si>
    <t>26.4</t>
  </si>
  <si>
    <t>338.8</t>
  </si>
  <si>
    <t>P-0105</t>
  </si>
  <si>
    <t>389-479-7249</t>
  </si>
  <si>
    <t>Jan 12, 2026</t>
  </si>
  <si>
    <t>167/63</t>
  </si>
  <si>
    <t>98.1</t>
  </si>
  <si>
    <t>275.05</t>
  </si>
  <si>
    <t>P-0106</t>
  </si>
  <si>
    <t>+233 24 504 1568</t>
  </si>
  <si>
    <t>14/02/2026</t>
  </si>
  <si>
    <t>583.86</t>
  </si>
  <si>
    <t>472.03</t>
  </si>
  <si>
    <t>ruth_cole@clinicmail.org</t>
  </si>
  <si>
    <t>2026-01-26</t>
  </si>
  <si>
    <t>346.36</t>
  </si>
  <si>
    <t>PAT108</t>
  </si>
  <si>
    <t>kwame.lawal@email.com</t>
  </si>
  <si>
    <t>28/02/2026</t>
  </si>
  <si>
    <t>133</t>
  </si>
  <si>
    <t>194.28</t>
  </si>
  <si>
    <t>p0109</t>
  </si>
  <si>
    <t>+233 24 899 9589</t>
  </si>
  <si>
    <t>daniel.adams@email.com</t>
  </si>
  <si>
    <t>2026-04-27</t>
  </si>
  <si>
    <t>552.46</t>
  </si>
  <si>
    <t>P-0110</t>
  </si>
  <si>
    <t>0243733132</t>
  </si>
  <si>
    <t>michael83@gmail</t>
  </si>
  <si>
    <t>397.92</t>
  </si>
  <si>
    <t>1111</t>
  </si>
  <si>
    <t>daniel_diallo@clinicmail.org</t>
  </si>
  <si>
    <t>Jun 05, 2026</t>
  </si>
  <si>
    <t>193.12</t>
  </si>
  <si>
    <t>1112</t>
  </si>
  <si>
    <t>797-825-4111</t>
  </si>
  <si>
    <t>abena93@gmail</t>
  </si>
  <si>
    <t>187</t>
  </si>
  <si>
    <t>545.79</t>
  </si>
  <si>
    <t>sarah_acheampong@clinicmail.org</t>
  </si>
  <si>
    <t>103.0</t>
  </si>
  <si>
    <t>GHS 327.31</t>
  </si>
  <si>
    <t>135.21</t>
  </si>
  <si>
    <t>p0114</t>
  </si>
  <si>
    <t>2026-04-09</t>
  </si>
  <si>
    <t>41.88</t>
  </si>
  <si>
    <t>daniel46@gmail</t>
  </si>
  <si>
    <t>82</t>
  </si>
  <si>
    <t>31.09</t>
  </si>
  <si>
    <t>6.97</t>
  </si>
  <si>
    <t>1116</t>
  </si>
  <si>
    <t>0245240244</t>
  </si>
  <si>
    <t>victoria.adebayo@email.com</t>
  </si>
  <si>
    <t>37.4</t>
  </si>
  <si>
    <t>36.1</t>
  </si>
  <si>
    <t>403.77</t>
  </si>
  <si>
    <t>P-0117</t>
  </si>
  <si>
    <t>0244484526</t>
  </si>
  <si>
    <t>victoria.yakubu@email.com</t>
  </si>
  <si>
    <t>2026-01-23</t>
  </si>
  <si>
    <t>106/109</t>
  </si>
  <si>
    <t>504.43</t>
  </si>
  <si>
    <t>337.47</t>
  </si>
  <si>
    <t>P-0118</t>
  </si>
  <si>
    <t>341-779-3793</t>
  </si>
  <si>
    <t>Jun 09, 2026</t>
  </si>
  <si>
    <t>97.4</t>
  </si>
  <si>
    <t>529.52</t>
  </si>
  <si>
    <t>John</t>
  </si>
  <si>
    <t>john4@gmail</t>
  </si>
  <si>
    <t>85.5</t>
  </si>
  <si>
    <t>p0120</t>
  </si>
  <si>
    <t>79</t>
  </si>
  <si>
    <t>369-176-9055</t>
  </si>
  <si>
    <t>2026-03-13</t>
  </si>
  <si>
    <t>314.02</t>
  </si>
  <si>
    <t>PAT121</t>
  </si>
  <si>
    <t>0248653898</t>
  </si>
  <si>
    <t>367.97</t>
  </si>
  <si>
    <t>p0122</t>
  </si>
  <si>
    <t>john.ali@email.com</t>
  </si>
  <si>
    <t>2026-04-17</t>
  </si>
  <si>
    <t>115.8</t>
  </si>
  <si>
    <t>557.44</t>
  </si>
  <si>
    <t>P-0123</t>
  </si>
  <si>
    <t>593-528-5067</t>
  </si>
  <si>
    <t>486.78</t>
  </si>
  <si>
    <t>P-0124</t>
  </si>
  <si>
    <t>ruth_taylor@clinicmail.org</t>
  </si>
  <si>
    <t>143/69</t>
  </si>
  <si>
    <t>488.82</t>
  </si>
  <si>
    <t>51.21</t>
  </si>
  <si>
    <t>38.08</t>
  </si>
  <si>
    <t>p0126</t>
  </si>
  <si>
    <t>18/05/1959</t>
  </si>
  <si>
    <t>+233 24 264 5178</t>
  </si>
  <si>
    <t>181</t>
  </si>
  <si>
    <t>468.72</t>
  </si>
  <si>
    <t>PAT127</t>
  </si>
  <si>
    <t>+233 24 323 9691</t>
  </si>
  <si>
    <t>25/04/2026</t>
  </si>
  <si>
    <t>37.2</t>
  </si>
  <si>
    <t>544.61</t>
  </si>
  <si>
    <t>PAT128</t>
  </si>
  <si>
    <t>esther.okafor@email.com</t>
  </si>
  <si>
    <t>23/02/2026</t>
  </si>
  <si>
    <t>521.67</t>
  </si>
  <si>
    <t>1129</t>
  </si>
  <si>
    <t>emeka_ali@clinicmail.org</t>
  </si>
  <si>
    <t>56.68</t>
  </si>
  <si>
    <t>PAT130</t>
  </si>
  <si>
    <t>+233 24 793 7113</t>
  </si>
  <si>
    <t>tunde.taylor@email.com</t>
  </si>
  <si>
    <t>248.57</t>
  </si>
  <si>
    <t>P-0131</t>
  </si>
  <si>
    <t>943-694-8982</t>
  </si>
  <si>
    <t>abena46@gmail</t>
  </si>
  <si>
    <t>2026-03-02</t>
  </si>
  <si>
    <t>185.38</t>
  </si>
  <si>
    <t>12.94</t>
  </si>
  <si>
    <t>1132</t>
  </si>
  <si>
    <t>aisha14@gmail</t>
  </si>
  <si>
    <t>163/72</t>
  </si>
  <si>
    <t>39.1</t>
  </si>
  <si>
    <t>67.54</t>
  </si>
  <si>
    <t>18.95</t>
  </si>
  <si>
    <t>1133</t>
  </si>
  <si>
    <t>+233 24 328 5767</t>
  </si>
  <si>
    <t>2026-05-09</t>
  </si>
  <si>
    <t>404.35</t>
  </si>
  <si>
    <t>1134</t>
  </si>
  <si>
    <t>+233 24 580 8448</t>
  </si>
  <si>
    <t>ibrahim_boateng@clinicmail.org</t>
  </si>
  <si>
    <t>Jun 12, 2026</t>
  </si>
  <si>
    <t>504.23</t>
  </si>
  <si>
    <t>p0135</t>
  </si>
  <si>
    <t>0245711201</t>
  </si>
  <si>
    <t>ruth_owusu@clinicmail.org</t>
  </si>
  <si>
    <t>31/01/2026</t>
  </si>
  <si>
    <t>5.6</t>
  </si>
  <si>
    <t>260.48</t>
  </si>
  <si>
    <t>1136</t>
  </si>
  <si>
    <t>13/02/2026</t>
  </si>
  <si>
    <t>501.61</t>
  </si>
  <si>
    <t>78</t>
  </si>
  <si>
    <t>+233 24 714 1639</t>
  </si>
  <si>
    <t>blessing62@gmail</t>
  </si>
  <si>
    <t>95.4</t>
  </si>
  <si>
    <t>499.96</t>
  </si>
  <si>
    <t>emeka.smith@email.com</t>
  </si>
  <si>
    <t>2026-05-14</t>
  </si>
  <si>
    <t>237.52</t>
  </si>
  <si>
    <t>1139</t>
  </si>
  <si>
    <t>chinedu.abiola@email.com</t>
  </si>
  <si>
    <t>474.2</t>
  </si>
  <si>
    <t>0245806156</t>
  </si>
  <si>
    <t>2026-04-23</t>
  </si>
  <si>
    <t>84</t>
  </si>
  <si>
    <t>136.99</t>
  </si>
  <si>
    <t>67</t>
  </si>
  <si>
    <t>18/02/1959</t>
  </si>
  <si>
    <t>hannah_boateng@clinicmail.org</t>
  </si>
  <si>
    <t>Jan 02, 2026</t>
  </si>
  <si>
    <t>121.52</t>
  </si>
  <si>
    <t>p0142</t>
  </si>
  <si>
    <t>76</t>
  </si>
  <si>
    <t>02-13-1949</t>
  </si>
  <si>
    <t>Mar 05, 2026</t>
  </si>
  <si>
    <t>73.95</t>
  </si>
  <si>
    <t>P-0143</t>
  </si>
  <si>
    <t>+233 24 222 2285</t>
  </si>
  <si>
    <t>Jun 08, 2026</t>
  </si>
  <si>
    <t>305.56</t>
  </si>
  <si>
    <t>PAT144</t>
  </si>
  <si>
    <t>140</t>
  </si>
  <si>
    <t>519.87</t>
  </si>
  <si>
    <t>blessing2@gmail</t>
  </si>
  <si>
    <t>97.99</t>
  </si>
  <si>
    <t>PAT146</t>
  </si>
  <si>
    <t>linda_abiola@clinicmail.org</t>
  </si>
  <si>
    <t>Feb 14, 2026</t>
  </si>
  <si>
    <t>128</t>
  </si>
  <si>
    <t>225.96</t>
  </si>
  <si>
    <t>PAT147</t>
  </si>
  <si>
    <t>joseph_acheampong@clinicmail.org</t>
  </si>
  <si>
    <t>125/102</t>
  </si>
  <si>
    <t>36.3</t>
  </si>
  <si>
    <t>117.04</t>
  </si>
  <si>
    <t>99.98</t>
  </si>
  <si>
    <t>p0148</t>
  </si>
  <si>
    <t>mary.kamara@email.com</t>
  </si>
  <si>
    <t>519.01</t>
  </si>
  <si>
    <t>PAT149</t>
  </si>
  <si>
    <t>tunde98@gmail</t>
  </si>
  <si>
    <t>Mar 30, 2026</t>
  </si>
  <si>
    <t>292.13</t>
  </si>
  <si>
    <t>P-0150</t>
  </si>
  <si>
    <t>982-919-5454</t>
  </si>
  <si>
    <t>blessing_osei@clinicmail.org</t>
  </si>
  <si>
    <t>25.0</t>
  </si>
  <si>
    <t>129.04</t>
  </si>
  <si>
    <t>8.83</t>
  </si>
  <si>
    <t>P-9999</t>
  </si>
  <si>
    <t>Test</t>
  </si>
  <si>
    <t>Patient</t>
  </si>
  <si>
    <t>dummy row</t>
  </si>
  <si>
    <t>Purpose</t>
  </si>
  <si>
    <t>Synthetic clinic-patient dataset for data cleaning and preparation practice. No real patients are included.</t>
  </si>
  <si>
    <t>Suggested cleaning tasks</t>
  </si>
  <si>
    <t>Remove duplicate records and repeated header rows.</t>
  </si>
  <si>
    <t>2</t>
  </si>
  <si>
    <t>Standardize Patient ID, gender, city, visit type, diagnosis, clinician names, and insurance provider.</t>
  </si>
  <si>
    <t>3</t>
  </si>
  <si>
    <t>Parse mixed date formats and identify impossible dates.</t>
  </si>
  <si>
    <t>4</t>
  </si>
  <si>
    <t>Validate ages against Date of Birth and flag impossible values.</t>
  </si>
  <si>
    <t>5</t>
  </si>
  <si>
    <t>Clean phone numbers and validate email addresses.</t>
  </si>
  <si>
    <t>6</t>
  </si>
  <si>
    <t>Convert Total Bill, Amount Paid, Temperature C, and Weight kg to numeric values.</t>
  </si>
  <si>
    <t>7</t>
  </si>
  <si>
    <t>Split or repair mixed names and missing fields.</t>
  </si>
  <si>
    <t>8</t>
  </si>
  <si>
    <t>Derive outstanding balance and reconcile payment status.</t>
  </si>
  <si>
    <t>9</t>
  </si>
  <si>
    <t>Flag implausible clinical values such as negative weights, fever in Fahrenheit, or invalid blood pressure.</t>
  </si>
  <si>
    <t>10</t>
  </si>
  <si>
    <t>Document assumptions and create a clean final dataset ready for analytics.</t>
  </si>
  <si>
    <t>Known intentional issues</t>
  </si>
  <si>
    <t>Missing values, inconsistent categories, duplicate rows, bad dates, invalid numeric values, mixed units, typos, text in numeric fields, invalid emails, repeated header row, and dummy/test record.</t>
  </si>
  <si>
    <t>Clean Gender</t>
  </si>
  <si>
    <t>Clean Patient ID</t>
  </si>
  <si>
    <t>Clean City</t>
  </si>
  <si>
    <t>Clean Visit Type</t>
  </si>
  <si>
    <t>Clean Primary Diagnosis</t>
  </si>
  <si>
    <t>Clean Blood Pressure</t>
  </si>
  <si>
    <t>Clean Temperture</t>
  </si>
  <si>
    <t>Clean Weight  kg</t>
  </si>
  <si>
    <t>Clean Insurance Provide</t>
  </si>
  <si>
    <t>Clean Total Bill</t>
  </si>
  <si>
    <t>Clean Amount Paid</t>
  </si>
  <si>
    <t>Clean Payment Status</t>
  </si>
  <si>
    <t>Clean Clinician</t>
  </si>
  <si>
    <t>Clean Notes</t>
  </si>
  <si>
    <t>Clean Visit Date</t>
  </si>
  <si>
    <t>Clean Age</t>
  </si>
  <si>
    <t>Clean DOB</t>
  </si>
  <si>
    <t>Clean Phone</t>
  </si>
  <si>
    <t>Clean Email</t>
  </si>
  <si>
    <t>Clean First Name</t>
  </si>
  <si>
    <t>Clean Last Nmame</t>
  </si>
  <si>
    <t>Outstanding Balalance</t>
  </si>
  <si>
    <t>Reconcile Payment Status</t>
  </si>
  <si>
    <t>Weight Flag</t>
  </si>
  <si>
    <t>Temp Flag</t>
  </si>
  <si>
    <t>Blood Pressure Flag</t>
  </si>
  <si>
    <t>Area</t>
  </si>
  <si>
    <t>Cleaning assumption</t>
  </si>
  <si>
    <t>Duplicate Records</t>
  </si>
  <si>
    <t>The Exact duplicate records and repeatd header rows in Row22 were removed to prevent double counting</t>
  </si>
  <si>
    <t>Patient ID were standardize to a stable format without pampering with the Original Patient ID</t>
  </si>
  <si>
    <t>Categorical Fields</t>
  </si>
  <si>
    <t>Gender, City, Visit type, Disgnosis, Clinician names, and Insurance provider were standardize for spelling and capitalization.</t>
  </si>
  <si>
    <t>Date</t>
  </si>
  <si>
    <t>The mixed date format were standardize to a consistent format and the impossible dates were flagged instead of replaced or assumed</t>
  </si>
  <si>
    <t xml:space="preserve"> Mssing and unknown age,s were retained as missing. Values outside the accepted range were flagged as invalid.</t>
  </si>
  <si>
    <t>Contact Details</t>
  </si>
  <si>
    <t>Phone numbers and Emails were polished, missing or invalid values were flagged rather than fabricated.</t>
  </si>
  <si>
    <t>Total Bills</t>
  </si>
  <si>
    <t>Ths were all in "Text" format, they were converted to Numbers. Some has another words with thrm such as GHS which were removed as well.</t>
  </si>
  <si>
    <t>Payment Reconncililiation</t>
  </si>
  <si>
    <t>Outstanding balance was derived fromcleaned Total Bill and Amount paid values, and payment status was reconcilled agaist the resulting balance.</t>
  </si>
  <si>
    <t>Temperature</t>
  </si>
  <si>
    <t>Some of the temperature were appearing in Fahrenheit and they were all converted to Celsius while the text such as "normal" remain that way.</t>
  </si>
  <si>
    <t>Weight</t>
  </si>
  <si>
    <t>Valid weights were retained, text, missimg values, and implausible values were excluded from cleaned weight field and flagged.</t>
  </si>
  <si>
    <t>Blood pressure seperatoes were standardize to / instead of this -. Enteries without a complete numeric pair were treated as missing, and cleaned readings were validated.</t>
  </si>
  <si>
    <t>Missing Values</t>
  </si>
  <si>
    <t>Any missing information are left missing rather than guessing or fabricating wrong information.</t>
  </si>
  <si>
    <t>Final Dataset</t>
  </si>
  <si>
    <t>Cleaned and validated fields will be used for analysis while original raw dataset are preserved for traceability.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</si>
</sst>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006100"/>
      <name val="Calibri"/>
      <family val="2"/>
      <scheme val="minor"/>
    </font>
    <font>
      <b/>
      <sz val="11"/>
      <color theme="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2" fillId="4" borderId="0" xfId="0" applyFont="1" applyFill="1"/>
    <xf numFmtId="0" fontId="1" fillId="2" borderId="0" xfId="0" applyFont="1" applyFill="1" applyAlignment="1">
      <alignment wrapText="1"/>
    </xf>
    <xf numFmtId="2" fontId="0" fillId="0" borderId="0" xfId="0" applyNumberFormat="1"/>
    <xf numFmtId="164" fontId="0" fillId="0" borderId="0" xfId="0" applyNumberFormat="1"/>
    <xf numFmtId="14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0" fontId="0" fillId="0" borderId="0" xfId="0" applyNumberFormat="1"/>
    <xf numFmtId="2" fontId="1" fillId="2" borderId="0" xfId="0" applyNumberFormat="1" applyFont="1" applyFill="1" applyAlignment="1">
      <alignment horizontal="center" vertical="center" wrapText="1"/>
    </xf>
    <xf numFmtId="0" fontId="3" fillId="5" borderId="0" xfId="1"/>
    <xf numFmtId="0" fontId="4" fillId="6" borderId="1" xfId="0" applyFont="1" applyFill="1" applyBorder="1"/>
  </cellXfs>
  <cellStyles count="2">
    <cellStyle name="Good" xfId="1" builtinId="26"/>
    <cellStyle name="Normal" xfId="0" builtinId="0"/>
  </cellStyles>
  <dxfs count="27">
    <dxf>
      <numFmt numFmtId="0" formatCode="General"/>
    </dxf>
    <dxf>
      <numFmt numFmtId="0" formatCode="General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2222EA-8ED9-48B9-8397-43BF4616261D}" name="MessyClinicPatients3" displayName="MessyClinicPatients3" ref="A1:U155">
  <tableColumns count="21">
    <tableColumn id="1" xr3:uid="{E0C14C91-16B8-4146-A436-755CF83A9551}" name="Patient ID"/>
    <tableColumn id="2" xr3:uid="{B79C8DBF-4CF2-4C19-A0C7-38DA90117824}" name="First Name"/>
    <tableColumn id="3" xr3:uid="{89D57A10-0219-4793-AE02-BB0249436F58}" name="Last Name"/>
    <tableColumn id="4" xr3:uid="{35A9CBD1-E014-430F-A0A4-590BB12235BF}" name="Age"/>
    <tableColumn id="5" xr3:uid="{E5EF7956-1E40-4B0B-A66D-D9CF3B5D3915}" name="Gender"/>
    <tableColumn id="6" xr3:uid="{473D4A62-EE7D-457F-82F5-C06E618C6071}" name="Date of Birth"/>
    <tableColumn id="7" xr3:uid="{6F091CEF-08C9-4A75-B411-E23C55744E6A}" name="Phone"/>
    <tableColumn id="8" xr3:uid="{13EF016D-8417-4CBD-B43D-9A5551261DAB}" name="Email"/>
    <tableColumn id="9" xr3:uid="{5BEC9CCD-6309-4EC6-AAD9-34A47EAA5A27}" name="City"/>
    <tableColumn id="10" xr3:uid="{A47F0155-C273-4B6A-B0BF-64BCADB2EF7B}" name="Visit Date"/>
    <tableColumn id="11" xr3:uid="{42C562D0-E5D4-4737-B934-8D48F45E6266}" name="Visit Type"/>
    <tableColumn id="12" xr3:uid="{0A7EAB0E-B466-4E34-B339-928F4DCD2CBE}" name="Primary Diagnosis"/>
    <tableColumn id="13" xr3:uid="{40E74F3D-A70A-46E5-AF55-312587A1EB1E}" name="Blood Pressure"/>
    <tableColumn id="14" xr3:uid="{B83DAEFE-F961-4752-B8EB-14EBB2065C3D}" name="Temperature C"/>
    <tableColumn id="15" xr3:uid="{678D0A61-781E-4577-A2B6-742C057693F2}" name="Weight kg"/>
    <tableColumn id="16" xr3:uid="{216F84DE-4965-4E7B-BB09-0BA16D43CC0A}" name="Insurance Provider"/>
    <tableColumn id="17" xr3:uid="{FA642A95-6F09-43FE-9179-6478C7C7BDDC}" name="Total Bill"/>
    <tableColumn id="18" xr3:uid="{B6C444E6-8FFB-4F99-A9F8-FE9B2062AC6D}" name="Amount Paid"/>
    <tableColumn id="19" xr3:uid="{AB033B54-3B2D-4495-813E-2CF62A9CAED5}" name="Payment Status"/>
    <tableColumn id="20" xr3:uid="{77892804-5DB7-4C37-A6E6-6484A7151479}" name="Clinician"/>
    <tableColumn id="21" xr3:uid="{7EF84F38-32C7-486B-9253-A0967CB79553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ssyClinicPatients" displayName="MessyClinicPatients" ref="A1:AU151">
  <autoFilter ref="A1:AU151" xr:uid="{00000000-000C-0000-FFFF-FFFF00000000}"/>
  <tableColumns count="47">
    <tableColumn id="1" xr3:uid="{00000000-0010-0000-0000-000001000000}" name="Patient ID"/>
    <tableColumn id="24" xr3:uid="{341DD022-DB7C-4B83-9609-D4A7484DAC06}" name="Clean Patient ID" dataDxfId="25">
      <calculatedColumnFormula>IF(TRIM(A2)="","",IFERROR("P-"&amp;TEXT(VALUE(SUBSTITUTE(SUBSTITUTE(SUBSTITUTE(UPPER(TRIM(A2)),"PAT",""),"P-",""),"P","")),"0000"),""))</calculatedColumnFormula>
    </tableColumn>
    <tableColumn id="2" xr3:uid="{00000000-0010-0000-0000-000002000000}" name="First Name"/>
    <tableColumn id="45" xr3:uid="{B269D743-9A9C-4F73-8AFA-461905337ABD}" name="Clean First Name" dataDxfId="7">
      <calculatedColumnFormula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calculatedColumnFormula>
    </tableColumn>
    <tableColumn id="3" xr3:uid="{00000000-0010-0000-0000-000003000000}" name="Last Name"/>
    <tableColumn id="46" xr3:uid="{4583C09C-9C9E-4C40-98A0-EF939BF1E41B}" name="Clean Last Nmame" dataDxfId="6">
      <calculatedColumnFormula>IF(TRIM(MessyClinicPatients[[#This Row],[Last Name]])&lt;&gt;"",TRIM(MessyClinicPatients[[#This Row],[Last Name]]),IF(TRIM(MessyClinicPatients[[#This Row],[First Name]])="","Missing",IFERROR(_xlfn.TEXTAFTER(TRIM(MessyClinicPatients[[#This Row],[First Name]])," "),"Missing")))</calculatedColumnFormula>
    </tableColumn>
    <tableColumn id="4" xr3:uid="{00000000-0010-0000-0000-000004000000}" name="Age"/>
    <tableColumn id="40" xr3:uid="{B5725B7C-10AC-4DDB-8AEE-B6F4AF716FE8}" name="Clean Age" dataDxfId="15">
      <calculatedColumnFormula>IF(OR(MessyClinicPatients[[#This Row],[Age]]="",MessyClinicPatients[[#This Row],[Age]]="unknown"),"Missing",IF(OR(MessyClinicPatients[[#This Row],[Age]]&lt;0,MessyClinicPatients[[#This Row],[Age]]&gt;120),"Invalid Age","Valid"))</calculatedColumnFormula>
    </tableColumn>
    <tableColumn id="5" xr3:uid="{00000000-0010-0000-0000-000005000000}" name="Gender"/>
    <tableColumn id="23" xr3:uid="{BFE1A1CB-2DDC-45FC-BEE5-A8A6CFF26400}" name="Clean Gender" dataDxfId="26">
      <calculatedColumnFormula>IF(OR(LOWER(TRIM(I2))="f",LOWER(TRIM(I2))="femal",LOWER(TRIM(I2))="female"),"Female",IF(OR(LOWER(TRIM(I2))="m",LOWER(TRIM(I2))="mal",LOWER(TRIM(I2))="male"),"Male",IF(LOWER(TRIM(I2))="other","Other","")))</calculatedColumnFormula>
    </tableColumn>
    <tableColumn id="6" xr3:uid="{00000000-0010-0000-0000-000006000000}" name="Date of Birth"/>
    <tableColumn id="41" xr3:uid="{F1AC6E4D-F5A4-496D-9B6E-B23012FF76F2}" name="Clean DOB" dataDxfId="14">
      <calculatedColumnFormula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calculatedColumnFormula>
    </tableColumn>
    <tableColumn id="7" xr3:uid="{00000000-0010-0000-0000-000007000000}" name="Phone"/>
    <tableColumn id="42" xr3:uid="{F219B915-E16F-4E65-9974-57996A128EF1}" name="Clean Phone" dataDxfId="13">
      <calculatedColumnFormula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calculatedColumnFormula>
    </tableColumn>
    <tableColumn id="8" xr3:uid="{00000000-0010-0000-0000-000008000000}" name="Email"/>
    <tableColumn id="43" xr3:uid="{D8FFC6F7-B5FC-4AA3-8604-898B94B27C08}" name="Clean Email" dataDxfId="12">
      <calculatedColumnFormula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calculatedColumnFormula>
    </tableColumn>
    <tableColumn id="9" xr3:uid="{00000000-0010-0000-0000-000009000000}" name="City"/>
    <tableColumn id="25" xr3:uid="{0E9B2094-ADD6-494E-A5F5-0753F6055337}" name="Clean City" dataDxfId="24">
      <calculatedColumnFormula>IF(TRIM(Q2)="","",TRIM(Q2))</calculatedColumnFormula>
    </tableColumn>
    <tableColumn id="10" xr3:uid="{00000000-0010-0000-0000-00000A000000}" name="Visit Date"/>
    <tableColumn id="39" xr3:uid="{98208980-3E45-4708-B0E9-5258C52E14AB}" name="Clean Visit Date" dataDxfId="16">
      <calculatedColumnFormula>IF(S2="","",IF(ISNUMBER(S2),S2,IF(AND(LEN(S2)=10,MID(S2,5,1)="-"),IFERROR(DATE(VALUE(LEFT(S2,4)),VALUE(MID(S2,6,2)),VALUE(RIGHT(S2,2))),"Invalid Date"),IF(AND(LEN(S2)=10,MID(S2,3,1)="/"),IFERROR(DATE(VALUE(RIGHT(S2,4)),VALUE(MID(S2,4,2)),VALUE(LEFT(S2,2))),"Invalid Date"),IF(AND(LEN(S2)=10,MID(S2,5,1)="/"),"Invalid Date",IFERROR(DATE(VALUE(RIGHT(S2,4)),MATCH(LEFT(S2,3),{"Jan","Feb","Mar","Apr","May","Jun","Jul","Aug","Sep","Oct","Nov","Dec"},0),VALUE(MID(S2,5,FIND(",",S2)-5))),"Invalid Date"))))))</calculatedColumnFormula>
    </tableColumn>
    <tableColumn id="11" xr3:uid="{00000000-0010-0000-0000-00000B000000}" name="Visit Type"/>
    <tableColumn id="26" xr3:uid="{AE33918E-185E-45D3-8585-C80962C52F40}" name="Clean Visit Type" dataDxfId="23">
      <calculatedColumnFormula>IF(TRIM(U2)="","",IF(OR(LOWER(TRIM(U2))="consult",LOWER(TRIM(U2))="consultation"),"Consultation",IF(OR(LOWER(TRIM(U2))="follow up",LOWER(TRIM(U2))="follow-up"),"Follow-up",PROPER(TRIM(U2)))))</calculatedColumnFormula>
    </tableColumn>
    <tableColumn id="12" xr3:uid="{00000000-0010-0000-0000-00000C000000}" name="Primary Diagnosis"/>
    <tableColumn id="28" xr3:uid="{AE810A0C-1E71-43FE-90EB-851154C5DD2F}" name="Clean Primary Diagnosis" dataDxfId="22">
      <calculatedColumnFormula>IF(TRIM(W2)="","",IF(UPPER(TRIM(W2))="COVID-19","COVID-19",PROPER(TRIM(W2))))</calculatedColumnFormula>
    </tableColumn>
    <tableColumn id="13" xr3:uid="{00000000-0010-0000-0000-00000D000000}" name="Blood Pressure"/>
    <tableColumn id="29" xr3:uid="{77423962-6CE2-43AD-A631-7B209026EFAD}" name="Clean Blood Pressure" dataDxfId="21">
      <calculatedColumnFormula>IF(TRIM(Y2)="","",IF(LOWER(TRIM(Y2))="high","",IF(ISNUMBER(SEARCH("/",TRIM(Y2))),TRIM(Y2),IF(ISNUMBER(SEARCH("-",TRIM(Y2))),SUBSTITUTE(TRIM(Y2),"-","/"),""))))</calculatedColumnFormula>
    </tableColumn>
    <tableColumn id="51" xr3:uid="{2DE54FE1-F01C-4D73-950B-F1ECC970F5F0}" name="Blood Pressure Flag" dataDxfId="1">
      <calculatedColumnFormula>IF(Z2="","Missing",IFERROR(IF(AND(VALUE(LEFT(Z2,FIND("/",Z2)-1))&gt;=70,VALUE(LEFT(Z2,FIND("/",Z2)-1))&lt;=250,VALUE(MID(Z2,FIND("/",Z2)+1,99))&gt;=40,VALUE(MID(Z2,FIND("/",Z2)+1,99))&lt;=150),"Valid","Invalid Blood Pressure"),"Invalid Blood Pressure"))</calculatedColumnFormula>
    </tableColumn>
    <tableColumn id="14" xr3:uid="{00000000-0010-0000-0000-00000E000000}" name="Temperature C"/>
    <tableColumn id="30" xr3:uid="{4E0F05A7-BEEC-498D-9268-44C073E47337}" name="Clean Temperture" dataDxfId="20">
      <calculatedColumnFormula>IF(OR(AB2="",LOWER(TRIM(AB2&amp;""))="normal"),"",IFERROR(IF(VALUE(AB2)&gt;60,(VALUE(AB2)-32)*5/9,VALUE(AB2)),""))</calculatedColumnFormula>
    </tableColumn>
    <tableColumn id="50" xr3:uid="{8B8DB6DA-60DD-49A8-A493-70A46D317D98}" name="Temp Flag" dataDxfId="2">
      <calculatedColumnFormula>IF(AB2="","Missing",IF(LOWER(TRIM(AB2&amp;""))="normal","Missing",IFERROR(IF(VALUE(AB2)&gt;=90,"Fahrenheit Converted","Valid"),"Invalid Temperature")))</calculatedColumnFormula>
    </tableColumn>
    <tableColumn id="15" xr3:uid="{00000000-0010-0000-0000-00000F000000}" name="Weight kg"/>
    <tableColumn id="31" xr3:uid="{29A07BA4-C79E-4EB5-9B7E-76FD2E51556A}" name="Clean Weight  kg" dataDxfId="19">
      <calculatedColumnFormula>IF(TRIM(AE2)="","",IF(LOWER(TRIM(AE2))="eighty",80,IFERROR(IF(AND(VALUE(AE2)&gt;=30,VALUE(AE2)&lt;=250),VALUE(AE2),""),"")))</calculatedColumnFormula>
    </tableColumn>
    <tableColumn id="49" xr3:uid="{46737D25-728B-4303-998B-A4DB4CE4CF25}" name="Weight Flag" dataDxfId="3">
      <calculatedColumnFormula>IF(AF2="","Missing",IF(AF2&lt;=0,"Invalid Weight",IF(AF2&gt;250,"Implausible Weight","Valid")))</calculatedColumnFormula>
    </tableColumn>
    <tableColumn id="16" xr3:uid="{00000000-0010-0000-0000-000010000000}" name="Insurance Provider"/>
    <tableColumn id="32" xr3:uid="{F76D67AD-5477-4D4B-85FC-D9DF34BFA4D7}" name="Clean Insurance Provide" dataDxfId="11">
      <calculatedColumnFormula>IF(OR(TRIM(AH2)="",UPPER(TRIM(AH2))="N/A"),"",IF(UPPER(TRIM(AH2))="NHIS","NHIS",IF(UPPER(TRIM(AH2))="PRIVATE","Private",IF(UPPER(TRIM(AH2))="CORPORATE","Corporate",IF(LOWER(TRIM(AH2))="nhis","NHIS",IF(UPPER(TRIM(AH2))="NONE","None",""))))))</calculatedColumnFormula>
    </tableColumn>
    <tableColumn id="17" xr3:uid="{00000000-0010-0000-0000-000011000000}" name="Total Bill" dataDxfId="9"/>
    <tableColumn id="33" xr3:uid="{F4713FAF-DAFD-4CE1-A960-7E5CDF190441}" name="Clean Total Bill" dataDxfId="10">
      <calculatedColumnFormula>IF(TRIM(AJ2)="","",IF(LOWER(TRIM(AJ2))="one hundred",100,IFERROR(IF(VALUE(SUBSTITUTE(UPPER(TRIM(AJ2)),"GHS",""))&lt;0,"",VALUE(SUBSTITUTE(UPPER(TRIM(AJ2)),"GHS",""))),"")))</calculatedColumnFormula>
    </tableColumn>
    <tableColumn id="18" xr3:uid="{00000000-0010-0000-0000-000012000000}" name="Amount Paid"/>
    <tableColumn id="35" xr3:uid="{8A34C86C-3BFA-4E0C-A1FF-9DE6C1B5CB5E}" name="Clean Amount Paid" dataDxfId="8">
      <calculatedColumnFormula>IF(TRIM(AL2)="","",IF(LOWER(TRIM(AL2))="one hundred",100,IFERROR(IF(VALUE(AL2)&lt;0,"",VALUE(AL2)),"")))</calculatedColumnFormula>
    </tableColumn>
    <tableColumn id="19" xr3:uid="{00000000-0010-0000-0000-000013000000}" name="Payment Status"/>
    <tableColumn id="36" xr3:uid="{0BAF609D-C03A-4CC4-B23D-424A09EA4788}" name="Clean Payment Status" dataDxfId="18">
      <calculatedColumnFormula>IF(TRIM(AN2)="","",PROPER(TRIM(AN2)))</calculatedColumnFormula>
    </tableColumn>
    <tableColumn id="47" xr3:uid="{155A5DF7-BA7F-4FFC-818C-7007721684E2}" name="Outstanding Balalance" dataDxfId="5">
      <calculatedColumnFormula>IF(OR(MessyClinicPatients[[#This Row],[Clean Total Bill]]="",MessyClinicPatients[[#This Row],[Clean Amount Paid]]=""),"",MessyClinicPatients[[#This Row],[Clean Total Bill]]-MessyClinicPatients[[#This Row],[Clean Amount Paid]])</calculatedColumnFormula>
    </tableColumn>
    <tableColumn id="48" xr3:uid="{DA5D8413-E2E6-46F7-8EB8-BE6B6BD58992}" name="Reconcile Payment Status" dataDxfId="4">
      <calculatedColumnFormula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calculatedColumnFormula>
    </tableColumn>
    <tableColumn id="20" xr3:uid="{00000000-0010-0000-0000-000014000000}" name="Clinician"/>
    <tableColumn id="37" xr3:uid="{BD0E11FE-7EC9-4C89-9A40-A45A6FE4F3D9}" name="Clean Clinician" dataDxfId="0">
      <calculatedColumnFormula>IF(TRIM(AR2)="","",IF(ISNUMBER(SEARCH("NURSE",UPPER(TRIM(AR2)))),"Nurse "&amp;PROPER(TRIM(SUBSTITUTE(UPPER(TRIM(AR2)),"NURSE",""))),"Dr. "&amp;PROPER(TRIM(SUBSTITUTE(SUBSTITUTE(UPPER(TRIM(AR2)),"DR.",""),"DR","")))))</calculatedColumnFormula>
    </tableColumn>
    <tableColumn id="21" xr3:uid="{00000000-0010-0000-0000-000015000000}" name="Notes"/>
    <tableColumn id="38" xr3:uid="{2CE42608-00FD-45A2-BF88-138FB65453E3}" name="Clean Notes" dataDxfId="17">
      <calculatedColumnFormula>IF(TRIM(AT2)="","",PROPER(TRIM(AT2)))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FC9E-1D7C-4C61-85F3-7BF3D2CE25AA}">
  <dimension ref="A1:U155"/>
  <sheetViews>
    <sheetView workbookViewId="0">
      <selection activeCell="U43" sqref="U43"/>
    </sheetView>
  </sheetViews>
  <sheetFormatPr defaultRowHeight="14.25"/>
  <cols>
    <col min="1" max="1" width="13" customWidth="1"/>
    <col min="2" max="3" width="14" customWidth="1"/>
    <col min="4" max="4" width="8" customWidth="1"/>
    <col min="5" max="5" width="10" customWidth="1"/>
    <col min="6" max="6" width="14" customWidth="1"/>
    <col min="7" max="7" width="16" customWidth="1"/>
    <col min="8" max="8" width="25" customWidth="1"/>
    <col min="9" max="9" width="13" customWidth="1"/>
    <col min="10" max="10" width="15" customWidth="1"/>
    <col min="11" max="11" width="16" customWidth="1"/>
    <col min="12" max="12" width="20" customWidth="1"/>
    <col min="13" max="13" width="15" customWidth="1"/>
    <col min="14" max="14" width="14" customWidth="1"/>
    <col min="15" max="15" width="12" customWidth="1"/>
    <col min="16" max="16" width="18" customWidth="1"/>
    <col min="17" max="18" width="12" customWidth="1"/>
    <col min="19" max="20" width="16" customWidth="1"/>
    <col min="21" max="21" width="28" customWidth="1"/>
  </cols>
  <sheetData>
    <row r="1" spans="1:21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8" customHeight="1">
      <c r="A2" t="s">
        <v>21</v>
      </c>
      <c r="B2" t="s">
        <v>22</v>
      </c>
      <c r="C2" t="s">
        <v>23</v>
      </c>
      <c r="D2" t="s">
        <v>24</v>
      </c>
      <c r="E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  <row r="3" spans="1:21" ht="18" customHeight="1">
      <c r="A3" t="s">
        <v>41</v>
      </c>
      <c r="B3" t="s">
        <v>42</v>
      </c>
      <c r="C3" t="s">
        <v>43</v>
      </c>
      <c r="D3" t="s">
        <v>24</v>
      </c>
      <c r="E3" t="s">
        <v>25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33</v>
      </c>
      <c r="P3" t="s">
        <v>51</v>
      </c>
      <c r="Q3" t="s">
        <v>52</v>
      </c>
      <c r="R3" t="s">
        <v>53</v>
      </c>
      <c r="S3" t="s">
        <v>38</v>
      </c>
      <c r="T3" t="s">
        <v>54</v>
      </c>
    </row>
    <row r="4" spans="1:21" ht="18" customHeight="1">
      <c r="A4" t="s">
        <v>55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62</v>
      </c>
      <c r="I4" t="s">
        <v>63</v>
      </c>
      <c r="J4" t="s">
        <v>64</v>
      </c>
      <c r="K4" t="s">
        <v>30</v>
      </c>
      <c r="L4" t="s">
        <v>65</v>
      </c>
      <c r="N4" t="s">
        <v>66</v>
      </c>
      <c r="Q4" t="s">
        <v>67</v>
      </c>
      <c r="R4" t="s">
        <v>67</v>
      </c>
      <c r="S4" t="s">
        <v>68</v>
      </c>
      <c r="T4" t="s">
        <v>69</v>
      </c>
      <c r="U4" t="s">
        <v>40</v>
      </c>
    </row>
    <row r="5" spans="1:21" ht="18" customHeight="1">
      <c r="A5" t="s">
        <v>70</v>
      </c>
      <c r="B5" t="s">
        <v>71</v>
      </c>
      <c r="C5" t="s">
        <v>72</v>
      </c>
      <c r="D5" t="s">
        <v>73</v>
      </c>
      <c r="E5" t="s">
        <v>74</v>
      </c>
      <c r="G5" t="s">
        <v>61</v>
      </c>
      <c r="H5" t="s">
        <v>75</v>
      </c>
      <c r="I5" t="s">
        <v>76</v>
      </c>
      <c r="K5" t="s">
        <v>77</v>
      </c>
      <c r="L5" t="s">
        <v>78</v>
      </c>
      <c r="M5" t="s">
        <v>79</v>
      </c>
      <c r="N5" t="s">
        <v>33</v>
      </c>
      <c r="O5" t="s">
        <v>80</v>
      </c>
      <c r="P5" t="s">
        <v>81</v>
      </c>
      <c r="Q5" t="s">
        <v>82</v>
      </c>
      <c r="R5" t="s">
        <v>37</v>
      </c>
      <c r="T5" t="s">
        <v>83</v>
      </c>
    </row>
    <row r="6" spans="1:21" ht="18" customHeight="1">
      <c r="A6" t="s">
        <v>84</v>
      </c>
      <c r="B6" t="s">
        <v>85</v>
      </c>
      <c r="C6" t="s">
        <v>86</v>
      </c>
      <c r="D6" t="s">
        <v>87</v>
      </c>
      <c r="E6" t="s">
        <v>88</v>
      </c>
      <c r="G6" t="s">
        <v>89</v>
      </c>
      <c r="H6" t="s">
        <v>90</v>
      </c>
      <c r="I6" t="s">
        <v>91</v>
      </c>
      <c r="J6" t="s">
        <v>92</v>
      </c>
      <c r="K6" t="s">
        <v>48</v>
      </c>
      <c r="N6" t="s">
        <v>33</v>
      </c>
      <c r="P6" t="s">
        <v>93</v>
      </c>
      <c r="Q6" t="s">
        <v>94</v>
      </c>
      <c r="S6" t="s">
        <v>95</v>
      </c>
      <c r="T6" t="s">
        <v>96</v>
      </c>
      <c r="U6" t="s">
        <v>97</v>
      </c>
    </row>
    <row r="7" spans="1:21" ht="18" customHeight="1">
      <c r="A7" t="s">
        <v>98</v>
      </c>
      <c r="B7" t="s">
        <v>99</v>
      </c>
      <c r="C7" t="s">
        <v>100</v>
      </c>
      <c r="D7" t="s">
        <v>87</v>
      </c>
      <c r="E7" t="s">
        <v>88</v>
      </c>
      <c r="G7" t="s">
        <v>61</v>
      </c>
      <c r="H7" t="s">
        <v>27</v>
      </c>
      <c r="I7" t="s">
        <v>101</v>
      </c>
      <c r="K7" t="s">
        <v>102</v>
      </c>
      <c r="L7" t="s">
        <v>103</v>
      </c>
      <c r="M7" t="s">
        <v>104</v>
      </c>
      <c r="O7" t="s">
        <v>105</v>
      </c>
      <c r="P7" t="s">
        <v>35</v>
      </c>
      <c r="Q7" t="s">
        <v>106</v>
      </c>
      <c r="R7" t="s">
        <v>107</v>
      </c>
      <c r="S7" t="s">
        <v>68</v>
      </c>
      <c r="T7" t="s">
        <v>54</v>
      </c>
      <c r="U7" t="s">
        <v>40</v>
      </c>
    </row>
    <row r="8" spans="1:21" ht="18" customHeight="1">
      <c r="A8" t="s">
        <v>108</v>
      </c>
      <c r="B8" t="s">
        <v>109</v>
      </c>
      <c r="C8" t="s">
        <v>72</v>
      </c>
      <c r="D8" t="s">
        <v>87</v>
      </c>
      <c r="G8" t="s">
        <v>61</v>
      </c>
      <c r="I8" t="s">
        <v>110</v>
      </c>
      <c r="K8" t="s">
        <v>111</v>
      </c>
      <c r="L8" t="s">
        <v>31</v>
      </c>
      <c r="M8" t="s">
        <v>112</v>
      </c>
      <c r="N8" t="s">
        <v>113</v>
      </c>
      <c r="P8" t="s">
        <v>114</v>
      </c>
      <c r="Q8" t="s">
        <v>115</v>
      </c>
      <c r="R8" t="s">
        <v>116</v>
      </c>
      <c r="S8" t="s">
        <v>117</v>
      </c>
      <c r="T8" t="s">
        <v>39</v>
      </c>
      <c r="U8" t="s">
        <v>97</v>
      </c>
    </row>
    <row r="9" spans="1:21" ht="18" customHeight="1">
      <c r="A9" t="s">
        <v>118</v>
      </c>
      <c r="B9" t="s">
        <v>119</v>
      </c>
      <c r="C9" t="s">
        <v>120</v>
      </c>
      <c r="D9" t="s">
        <v>121</v>
      </c>
      <c r="E9" t="s">
        <v>59</v>
      </c>
      <c r="F9" t="s">
        <v>122</v>
      </c>
      <c r="G9" t="s">
        <v>123</v>
      </c>
      <c r="H9" t="s">
        <v>27</v>
      </c>
      <c r="I9" t="s">
        <v>101</v>
      </c>
      <c r="K9" t="s">
        <v>102</v>
      </c>
      <c r="L9" t="s">
        <v>124</v>
      </c>
      <c r="M9" t="s">
        <v>125</v>
      </c>
      <c r="O9" t="s">
        <v>126</v>
      </c>
      <c r="P9" t="s">
        <v>81</v>
      </c>
      <c r="Q9" t="s">
        <v>127</v>
      </c>
      <c r="S9" t="s">
        <v>95</v>
      </c>
      <c r="T9" t="s">
        <v>96</v>
      </c>
      <c r="U9" t="s">
        <v>97</v>
      </c>
    </row>
    <row r="10" spans="1:21" ht="18" customHeight="1">
      <c r="A10" t="s">
        <v>128</v>
      </c>
      <c r="B10" t="s">
        <v>129</v>
      </c>
      <c r="C10" t="s">
        <v>130</v>
      </c>
      <c r="H10" t="s">
        <v>131</v>
      </c>
      <c r="I10" t="s">
        <v>132</v>
      </c>
      <c r="J10" t="s">
        <v>133</v>
      </c>
      <c r="K10" t="s">
        <v>134</v>
      </c>
      <c r="L10" t="s">
        <v>103</v>
      </c>
      <c r="N10" t="s">
        <v>33</v>
      </c>
      <c r="O10" t="s">
        <v>135</v>
      </c>
      <c r="P10" t="s">
        <v>35</v>
      </c>
      <c r="Q10" t="s">
        <v>136</v>
      </c>
      <c r="R10" t="s">
        <v>37</v>
      </c>
      <c r="S10" t="s">
        <v>137</v>
      </c>
      <c r="T10" t="s">
        <v>69</v>
      </c>
    </row>
    <row r="11" spans="1:21" ht="18" customHeight="1">
      <c r="A11" t="s">
        <v>138</v>
      </c>
      <c r="B11" t="s">
        <v>139</v>
      </c>
      <c r="C11" t="s">
        <v>140</v>
      </c>
      <c r="D11" t="s">
        <v>24</v>
      </c>
      <c r="G11" t="s">
        <v>141</v>
      </c>
      <c r="H11" t="s">
        <v>142</v>
      </c>
      <c r="I11" t="s">
        <v>46</v>
      </c>
      <c r="J11" t="s">
        <v>143</v>
      </c>
      <c r="K11" t="s">
        <v>144</v>
      </c>
      <c r="L11" t="s">
        <v>103</v>
      </c>
      <c r="M11" t="s">
        <v>145</v>
      </c>
      <c r="N11" t="s">
        <v>33</v>
      </c>
      <c r="O11" t="s">
        <v>80</v>
      </c>
      <c r="Q11" t="s">
        <v>146</v>
      </c>
      <c r="R11" t="s">
        <v>146</v>
      </c>
      <c r="S11" t="s">
        <v>147</v>
      </c>
      <c r="T11" t="s">
        <v>148</v>
      </c>
      <c r="U11" t="s">
        <v>97</v>
      </c>
    </row>
    <row r="12" spans="1:21" ht="18" customHeight="1">
      <c r="A12" t="s">
        <v>149</v>
      </c>
      <c r="B12" t="s">
        <v>150</v>
      </c>
      <c r="D12" t="s">
        <v>24</v>
      </c>
      <c r="E12" t="s">
        <v>151</v>
      </c>
      <c r="G12" t="s">
        <v>152</v>
      </c>
      <c r="H12" t="s">
        <v>153</v>
      </c>
      <c r="J12" t="s">
        <v>154</v>
      </c>
      <c r="K12" t="s">
        <v>134</v>
      </c>
      <c r="L12" t="s">
        <v>155</v>
      </c>
      <c r="N12" t="s">
        <v>156</v>
      </c>
      <c r="Q12" t="s">
        <v>157</v>
      </c>
      <c r="R12" t="s">
        <v>158</v>
      </c>
      <c r="T12" t="s">
        <v>96</v>
      </c>
      <c r="U12" t="s">
        <v>159</v>
      </c>
    </row>
    <row r="13" spans="1:21" ht="18" customHeight="1">
      <c r="A13" t="s">
        <v>160</v>
      </c>
      <c r="B13" t="s">
        <v>161</v>
      </c>
      <c r="C13" t="s">
        <v>162</v>
      </c>
      <c r="E13" t="s">
        <v>163</v>
      </c>
      <c r="G13" t="s">
        <v>164</v>
      </c>
      <c r="H13" t="s">
        <v>165</v>
      </c>
      <c r="J13" t="s">
        <v>166</v>
      </c>
      <c r="L13" t="s">
        <v>167</v>
      </c>
      <c r="M13" t="s">
        <v>145</v>
      </c>
      <c r="N13" t="s">
        <v>168</v>
      </c>
      <c r="O13" t="s">
        <v>169</v>
      </c>
      <c r="P13" t="s">
        <v>51</v>
      </c>
      <c r="Q13" t="s">
        <v>170</v>
      </c>
      <c r="S13" t="s">
        <v>147</v>
      </c>
      <c r="T13" t="s">
        <v>83</v>
      </c>
      <c r="U13" t="s">
        <v>171</v>
      </c>
    </row>
    <row r="14" spans="1:21" ht="18" customHeight="1">
      <c r="A14" t="s">
        <v>172</v>
      </c>
      <c r="B14" t="s">
        <v>173</v>
      </c>
      <c r="C14" t="s">
        <v>174</v>
      </c>
      <c r="D14" t="s">
        <v>175</v>
      </c>
      <c r="E14" t="s">
        <v>74</v>
      </c>
      <c r="G14" t="s">
        <v>176</v>
      </c>
      <c r="H14" t="s">
        <v>177</v>
      </c>
      <c r="I14" t="s">
        <v>63</v>
      </c>
      <c r="J14" t="s">
        <v>178</v>
      </c>
      <c r="K14" t="s">
        <v>30</v>
      </c>
      <c r="L14" t="s">
        <v>49</v>
      </c>
      <c r="M14" t="s">
        <v>179</v>
      </c>
      <c r="N14" t="s">
        <v>33</v>
      </c>
      <c r="O14" t="s">
        <v>180</v>
      </c>
      <c r="Q14" t="s">
        <v>181</v>
      </c>
      <c r="R14" t="s">
        <v>37</v>
      </c>
      <c r="T14" t="s">
        <v>83</v>
      </c>
      <c r="U14" t="s">
        <v>159</v>
      </c>
    </row>
    <row r="15" spans="1:21" ht="18" customHeight="1">
      <c r="A15" t="s">
        <v>182</v>
      </c>
      <c r="B15" t="s">
        <v>109</v>
      </c>
      <c r="C15" t="s">
        <v>72</v>
      </c>
      <c r="D15" t="s">
        <v>73</v>
      </c>
      <c r="E15" t="s">
        <v>183</v>
      </c>
      <c r="G15" t="s">
        <v>184</v>
      </c>
      <c r="H15" t="s">
        <v>185</v>
      </c>
      <c r="I15" t="s">
        <v>28</v>
      </c>
      <c r="J15" t="s">
        <v>92</v>
      </c>
      <c r="K15" t="s">
        <v>134</v>
      </c>
      <c r="M15" t="s">
        <v>186</v>
      </c>
      <c r="O15" t="s">
        <v>80</v>
      </c>
      <c r="P15" t="s">
        <v>35</v>
      </c>
      <c r="Q15" t="s">
        <v>187</v>
      </c>
      <c r="S15" t="s">
        <v>137</v>
      </c>
      <c r="T15" t="s">
        <v>54</v>
      </c>
      <c r="U15" t="s">
        <v>97</v>
      </c>
    </row>
    <row r="16" spans="1:21" ht="18" customHeight="1">
      <c r="A16" t="s">
        <v>188</v>
      </c>
      <c r="B16" t="s">
        <v>99</v>
      </c>
      <c r="C16" t="s">
        <v>189</v>
      </c>
      <c r="G16" t="s">
        <v>61</v>
      </c>
      <c r="H16" t="s">
        <v>27</v>
      </c>
      <c r="I16" t="s">
        <v>110</v>
      </c>
      <c r="K16" t="s">
        <v>48</v>
      </c>
      <c r="L16" t="s">
        <v>49</v>
      </c>
      <c r="M16" t="s">
        <v>145</v>
      </c>
      <c r="N16" t="s">
        <v>190</v>
      </c>
      <c r="P16" t="s">
        <v>51</v>
      </c>
      <c r="Q16" t="s">
        <v>191</v>
      </c>
      <c r="R16" t="s">
        <v>191</v>
      </c>
      <c r="S16" t="s">
        <v>68</v>
      </c>
    </row>
    <row r="17" spans="1:21" ht="18" customHeight="1">
      <c r="A17" t="s">
        <v>192</v>
      </c>
      <c r="B17" t="s">
        <v>193</v>
      </c>
      <c r="C17" t="s">
        <v>120</v>
      </c>
      <c r="E17" t="s">
        <v>25</v>
      </c>
      <c r="G17" t="s">
        <v>176</v>
      </c>
      <c r="H17" t="s">
        <v>194</v>
      </c>
      <c r="I17" t="s">
        <v>76</v>
      </c>
      <c r="K17" t="s">
        <v>102</v>
      </c>
      <c r="L17" t="s">
        <v>195</v>
      </c>
      <c r="M17" t="s">
        <v>196</v>
      </c>
      <c r="N17" t="s">
        <v>197</v>
      </c>
      <c r="P17" t="s">
        <v>176</v>
      </c>
      <c r="Q17" t="s">
        <v>198</v>
      </c>
      <c r="R17" t="s">
        <v>53</v>
      </c>
      <c r="S17" t="s">
        <v>137</v>
      </c>
    </row>
    <row r="18" spans="1:21" ht="18" customHeight="1">
      <c r="A18" t="s">
        <v>199</v>
      </c>
      <c r="B18" t="s">
        <v>200</v>
      </c>
      <c r="C18" t="s">
        <v>86</v>
      </c>
      <c r="D18" t="s">
        <v>201</v>
      </c>
      <c r="E18" t="s">
        <v>25</v>
      </c>
      <c r="F18" t="s">
        <v>202</v>
      </c>
      <c r="H18" t="s">
        <v>27</v>
      </c>
      <c r="I18" t="s">
        <v>132</v>
      </c>
      <c r="J18" t="s">
        <v>203</v>
      </c>
      <c r="K18" t="s">
        <v>144</v>
      </c>
      <c r="L18" t="s">
        <v>103</v>
      </c>
      <c r="M18" t="s">
        <v>179</v>
      </c>
      <c r="O18" t="s">
        <v>204</v>
      </c>
      <c r="Q18" t="s">
        <v>205</v>
      </c>
      <c r="R18" t="s">
        <v>53</v>
      </c>
      <c r="S18" t="s">
        <v>68</v>
      </c>
      <c r="T18" t="s">
        <v>96</v>
      </c>
    </row>
    <row r="19" spans="1:21" ht="18" customHeight="1">
      <c r="A19" t="s">
        <v>206</v>
      </c>
      <c r="B19" t="s">
        <v>129</v>
      </c>
      <c r="C19" t="s">
        <v>57</v>
      </c>
      <c r="D19" t="s">
        <v>24</v>
      </c>
      <c r="E19" t="s">
        <v>151</v>
      </c>
      <c r="G19" t="s">
        <v>176</v>
      </c>
      <c r="H19" t="s">
        <v>207</v>
      </c>
      <c r="I19" t="s">
        <v>110</v>
      </c>
      <c r="J19" t="s">
        <v>208</v>
      </c>
      <c r="K19" t="s">
        <v>48</v>
      </c>
      <c r="L19" t="s">
        <v>49</v>
      </c>
      <c r="M19" t="s">
        <v>209</v>
      </c>
      <c r="O19" t="s">
        <v>204</v>
      </c>
      <c r="P19" t="s">
        <v>93</v>
      </c>
      <c r="Q19" t="s">
        <v>210</v>
      </c>
      <c r="R19" t="s">
        <v>53</v>
      </c>
      <c r="S19" t="s">
        <v>137</v>
      </c>
      <c r="T19" t="s">
        <v>211</v>
      </c>
      <c r="U19" t="s">
        <v>40</v>
      </c>
    </row>
    <row r="20" spans="1:21" ht="18" customHeight="1">
      <c r="B20" t="s">
        <v>212</v>
      </c>
      <c r="C20" t="s">
        <v>57</v>
      </c>
      <c r="E20" t="s">
        <v>163</v>
      </c>
      <c r="G20" t="s">
        <v>213</v>
      </c>
      <c r="H20" t="s">
        <v>27</v>
      </c>
      <c r="I20" t="s">
        <v>63</v>
      </c>
      <c r="J20" t="s">
        <v>214</v>
      </c>
      <c r="K20" t="s">
        <v>111</v>
      </c>
      <c r="L20" t="s">
        <v>49</v>
      </c>
      <c r="N20" t="s">
        <v>215</v>
      </c>
      <c r="O20" t="s">
        <v>204</v>
      </c>
      <c r="P20" t="s">
        <v>51</v>
      </c>
      <c r="Q20" t="s">
        <v>216</v>
      </c>
      <c r="R20" t="s">
        <v>116</v>
      </c>
      <c r="T20" t="s">
        <v>69</v>
      </c>
    </row>
    <row r="21" spans="1:21" ht="18" customHeight="1">
      <c r="A21" t="s">
        <v>217</v>
      </c>
      <c r="B21" t="s">
        <v>218</v>
      </c>
      <c r="C21" t="s">
        <v>219</v>
      </c>
      <c r="D21" t="s">
        <v>220</v>
      </c>
      <c r="F21" t="s">
        <v>221</v>
      </c>
      <c r="G21" t="s">
        <v>176</v>
      </c>
      <c r="H21" t="s">
        <v>27</v>
      </c>
      <c r="I21" t="s">
        <v>222</v>
      </c>
      <c r="J21" t="s">
        <v>223</v>
      </c>
      <c r="K21" t="s">
        <v>102</v>
      </c>
      <c r="L21" t="s">
        <v>224</v>
      </c>
      <c r="M21" t="s">
        <v>179</v>
      </c>
      <c r="N21" t="s">
        <v>33</v>
      </c>
      <c r="O21" t="s">
        <v>80</v>
      </c>
      <c r="P21" t="s">
        <v>114</v>
      </c>
      <c r="Q21" t="s">
        <v>225</v>
      </c>
      <c r="R21" t="s">
        <v>225</v>
      </c>
      <c r="S21" t="s">
        <v>95</v>
      </c>
      <c r="T21" t="s">
        <v>83</v>
      </c>
      <c r="U21" t="s">
        <v>40</v>
      </c>
    </row>
    <row r="22" spans="1:21" ht="18" customHeight="1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13</v>
      </c>
      <c r="O22" t="s">
        <v>14</v>
      </c>
      <c r="P22" t="s">
        <v>15</v>
      </c>
      <c r="Q22" t="s">
        <v>16</v>
      </c>
      <c r="R22" t="s">
        <v>17</v>
      </c>
      <c r="S22" t="s">
        <v>18</v>
      </c>
      <c r="T22" t="s">
        <v>19</v>
      </c>
      <c r="U22" t="s">
        <v>20</v>
      </c>
    </row>
    <row r="23" spans="1:21" ht="18" customHeight="1">
      <c r="A23" t="s">
        <v>226</v>
      </c>
      <c r="B23" t="s">
        <v>109</v>
      </c>
      <c r="C23" t="s">
        <v>189</v>
      </c>
      <c r="E23" t="s">
        <v>163</v>
      </c>
      <c r="G23" t="s">
        <v>61</v>
      </c>
      <c r="H23" t="s">
        <v>27</v>
      </c>
      <c r="I23" t="s">
        <v>227</v>
      </c>
      <c r="J23" t="s">
        <v>228</v>
      </c>
      <c r="K23" t="s">
        <v>48</v>
      </c>
      <c r="L23" t="s">
        <v>229</v>
      </c>
      <c r="M23" t="s">
        <v>230</v>
      </c>
      <c r="N23" t="s">
        <v>33</v>
      </c>
      <c r="O23" t="s">
        <v>204</v>
      </c>
      <c r="P23" t="s">
        <v>114</v>
      </c>
      <c r="Q23" t="s">
        <v>231</v>
      </c>
      <c r="R23" t="s">
        <v>116</v>
      </c>
      <c r="S23" t="s">
        <v>147</v>
      </c>
      <c r="T23" t="s">
        <v>54</v>
      </c>
      <c r="U23" t="s">
        <v>171</v>
      </c>
    </row>
    <row r="24" spans="1:21" ht="18" customHeight="1">
      <c r="A24" t="s">
        <v>232</v>
      </c>
      <c r="B24" t="s">
        <v>233</v>
      </c>
      <c r="C24" t="s">
        <v>23</v>
      </c>
      <c r="E24" t="s">
        <v>234</v>
      </c>
      <c r="H24" t="s">
        <v>235</v>
      </c>
      <c r="I24" t="s">
        <v>132</v>
      </c>
      <c r="J24" t="s">
        <v>236</v>
      </c>
      <c r="K24" t="s">
        <v>30</v>
      </c>
      <c r="L24" t="s">
        <v>78</v>
      </c>
      <c r="M24" t="s">
        <v>237</v>
      </c>
      <c r="O24" t="s">
        <v>238</v>
      </c>
      <c r="P24" t="s">
        <v>176</v>
      </c>
      <c r="Q24" t="s">
        <v>239</v>
      </c>
      <c r="R24" t="s">
        <v>239</v>
      </c>
      <c r="S24" t="s">
        <v>137</v>
      </c>
      <c r="T24" t="s">
        <v>148</v>
      </c>
    </row>
    <row r="25" spans="1:21" ht="18" customHeight="1">
      <c r="A25" t="s">
        <v>240</v>
      </c>
      <c r="B25" t="s">
        <v>241</v>
      </c>
      <c r="C25" t="s">
        <v>242</v>
      </c>
      <c r="D25" t="s">
        <v>243</v>
      </c>
      <c r="E25" t="s">
        <v>183</v>
      </c>
      <c r="F25" t="s">
        <v>244</v>
      </c>
      <c r="H25" t="s">
        <v>27</v>
      </c>
      <c r="I25" t="s">
        <v>227</v>
      </c>
      <c r="J25" t="s">
        <v>92</v>
      </c>
      <c r="K25" t="s">
        <v>134</v>
      </c>
      <c r="L25" t="s">
        <v>224</v>
      </c>
      <c r="M25" t="s">
        <v>179</v>
      </c>
      <c r="N25" t="s">
        <v>245</v>
      </c>
      <c r="O25" t="s">
        <v>204</v>
      </c>
      <c r="P25" t="s">
        <v>35</v>
      </c>
      <c r="Q25" t="s">
        <v>246</v>
      </c>
      <c r="R25" t="s">
        <v>37</v>
      </c>
      <c r="S25" t="s">
        <v>38</v>
      </c>
      <c r="T25" t="s">
        <v>39</v>
      </c>
    </row>
    <row r="26" spans="1:21" ht="18" customHeight="1">
      <c r="A26" t="s">
        <v>247</v>
      </c>
      <c r="B26" t="s">
        <v>173</v>
      </c>
      <c r="C26" t="s">
        <v>162</v>
      </c>
      <c r="D26" t="s">
        <v>87</v>
      </c>
      <c r="E26" t="s">
        <v>248</v>
      </c>
      <c r="G26" t="s">
        <v>249</v>
      </c>
      <c r="H26" t="s">
        <v>250</v>
      </c>
      <c r="I26" t="s">
        <v>46</v>
      </c>
      <c r="J26" t="s">
        <v>251</v>
      </c>
      <c r="K26" t="s">
        <v>77</v>
      </c>
      <c r="L26" t="s">
        <v>103</v>
      </c>
      <c r="M26" t="s">
        <v>252</v>
      </c>
      <c r="N26" t="s">
        <v>253</v>
      </c>
      <c r="P26" t="s">
        <v>81</v>
      </c>
      <c r="Q26" t="s">
        <v>254</v>
      </c>
      <c r="R26" t="s">
        <v>116</v>
      </c>
      <c r="S26" t="s">
        <v>38</v>
      </c>
      <c r="T26" t="s">
        <v>83</v>
      </c>
      <c r="U26" t="s">
        <v>159</v>
      </c>
    </row>
    <row r="27" spans="1:21" ht="18" customHeight="1">
      <c r="A27" t="s">
        <v>255</v>
      </c>
      <c r="B27" t="s">
        <v>119</v>
      </c>
      <c r="C27" t="s">
        <v>23</v>
      </c>
      <c r="D27" t="s">
        <v>24</v>
      </c>
      <c r="E27" t="s">
        <v>248</v>
      </c>
      <c r="G27" t="s">
        <v>176</v>
      </c>
      <c r="I27" t="s">
        <v>132</v>
      </c>
      <c r="J27" t="s">
        <v>256</v>
      </c>
      <c r="K27" t="s">
        <v>111</v>
      </c>
      <c r="L27" t="s">
        <v>49</v>
      </c>
      <c r="O27" t="s">
        <v>238</v>
      </c>
      <c r="P27" t="s">
        <v>176</v>
      </c>
      <c r="Q27" t="s">
        <v>257</v>
      </c>
      <c r="R27" t="s">
        <v>116</v>
      </c>
      <c r="S27" t="s">
        <v>68</v>
      </c>
      <c r="T27" t="s">
        <v>69</v>
      </c>
      <c r="U27" t="s">
        <v>171</v>
      </c>
    </row>
    <row r="28" spans="1:21" ht="18" customHeight="1">
      <c r="A28" t="s">
        <v>258</v>
      </c>
      <c r="B28" t="s">
        <v>259</v>
      </c>
      <c r="C28" t="s">
        <v>260</v>
      </c>
      <c r="D28" t="s">
        <v>261</v>
      </c>
      <c r="E28" t="s">
        <v>74</v>
      </c>
      <c r="F28" t="s">
        <v>262</v>
      </c>
      <c r="G28" t="s">
        <v>263</v>
      </c>
      <c r="H28" t="s">
        <v>264</v>
      </c>
      <c r="I28" t="s">
        <v>63</v>
      </c>
      <c r="J28" t="s">
        <v>92</v>
      </c>
      <c r="K28" t="s">
        <v>77</v>
      </c>
      <c r="L28" t="s">
        <v>229</v>
      </c>
      <c r="M28" t="s">
        <v>145</v>
      </c>
      <c r="N28" t="s">
        <v>265</v>
      </c>
      <c r="O28" t="s">
        <v>266</v>
      </c>
      <c r="P28" t="s">
        <v>176</v>
      </c>
      <c r="Q28" t="s">
        <v>267</v>
      </c>
      <c r="R28" t="s">
        <v>37</v>
      </c>
      <c r="S28" t="s">
        <v>68</v>
      </c>
      <c r="T28" t="s">
        <v>39</v>
      </c>
      <c r="U28" t="s">
        <v>40</v>
      </c>
    </row>
    <row r="29" spans="1:21" ht="18" customHeight="1">
      <c r="A29" t="s">
        <v>268</v>
      </c>
      <c r="B29" t="s">
        <v>218</v>
      </c>
      <c r="C29" t="s">
        <v>269</v>
      </c>
      <c r="E29" t="s">
        <v>163</v>
      </c>
      <c r="G29" t="s">
        <v>176</v>
      </c>
      <c r="H29" t="s">
        <v>270</v>
      </c>
      <c r="I29" t="s">
        <v>63</v>
      </c>
      <c r="J29" t="s">
        <v>271</v>
      </c>
      <c r="K29" t="s">
        <v>30</v>
      </c>
      <c r="M29" t="s">
        <v>272</v>
      </c>
      <c r="O29" t="s">
        <v>80</v>
      </c>
      <c r="P29" t="s">
        <v>81</v>
      </c>
      <c r="Q29" t="s">
        <v>273</v>
      </c>
      <c r="S29" t="s">
        <v>38</v>
      </c>
      <c r="T29" t="s">
        <v>211</v>
      </c>
      <c r="U29" t="s">
        <v>274</v>
      </c>
    </row>
    <row r="30" spans="1:21" ht="18" customHeight="1">
      <c r="A30" t="s">
        <v>275</v>
      </c>
      <c r="B30" t="s">
        <v>276</v>
      </c>
      <c r="C30" t="s">
        <v>72</v>
      </c>
      <c r="D30" t="s">
        <v>87</v>
      </c>
      <c r="E30" t="s">
        <v>59</v>
      </c>
      <c r="G30" t="s">
        <v>61</v>
      </c>
      <c r="H30" t="s">
        <v>277</v>
      </c>
      <c r="I30" t="s">
        <v>132</v>
      </c>
      <c r="J30" t="s">
        <v>278</v>
      </c>
      <c r="K30" t="s">
        <v>102</v>
      </c>
      <c r="M30" t="s">
        <v>179</v>
      </c>
      <c r="O30" t="s">
        <v>279</v>
      </c>
      <c r="P30" t="s">
        <v>93</v>
      </c>
      <c r="Q30" t="s">
        <v>280</v>
      </c>
      <c r="R30" t="s">
        <v>53</v>
      </c>
      <c r="S30" t="s">
        <v>68</v>
      </c>
      <c r="T30" t="s">
        <v>39</v>
      </c>
      <c r="U30" t="s">
        <v>40</v>
      </c>
    </row>
    <row r="31" spans="1:21" ht="18" customHeight="1">
      <c r="A31" t="s">
        <v>281</v>
      </c>
      <c r="B31" t="s">
        <v>85</v>
      </c>
      <c r="C31" t="s">
        <v>282</v>
      </c>
      <c r="E31" t="s">
        <v>88</v>
      </c>
      <c r="G31" t="s">
        <v>283</v>
      </c>
      <c r="H31" t="s">
        <v>27</v>
      </c>
      <c r="I31" t="s">
        <v>76</v>
      </c>
      <c r="J31" t="s">
        <v>284</v>
      </c>
      <c r="K31" t="s">
        <v>134</v>
      </c>
      <c r="L31" t="s">
        <v>224</v>
      </c>
      <c r="M31" t="s">
        <v>179</v>
      </c>
      <c r="N31" t="s">
        <v>285</v>
      </c>
      <c r="O31" t="s">
        <v>80</v>
      </c>
      <c r="P31" t="s">
        <v>93</v>
      </c>
      <c r="Q31" t="s">
        <v>286</v>
      </c>
      <c r="T31" t="s">
        <v>83</v>
      </c>
      <c r="U31" t="s">
        <v>40</v>
      </c>
    </row>
    <row r="32" spans="1:21" ht="18" customHeight="1">
      <c r="A32" t="s">
        <v>287</v>
      </c>
      <c r="B32" t="s">
        <v>139</v>
      </c>
      <c r="C32" t="s">
        <v>189</v>
      </c>
      <c r="D32" t="s">
        <v>24</v>
      </c>
      <c r="E32" t="s">
        <v>234</v>
      </c>
      <c r="H32" t="s">
        <v>288</v>
      </c>
      <c r="I32" t="s">
        <v>289</v>
      </c>
      <c r="J32" t="s">
        <v>290</v>
      </c>
      <c r="K32" t="s">
        <v>30</v>
      </c>
      <c r="L32" t="s">
        <v>49</v>
      </c>
      <c r="M32" t="s">
        <v>179</v>
      </c>
      <c r="N32" t="s">
        <v>291</v>
      </c>
      <c r="O32" t="s">
        <v>238</v>
      </c>
      <c r="P32" t="s">
        <v>49</v>
      </c>
      <c r="Q32" t="s">
        <v>292</v>
      </c>
      <c r="S32" t="s">
        <v>38</v>
      </c>
      <c r="T32" t="s">
        <v>83</v>
      </c>
      <c r="U32" t="s">
        <v>171</v>
      </c>
    </row>
    <row r="33" spans="1:21" ht="18" customHeight="1">
      <c r="A33" t="s">
        <v>293</v>
      </c>
      <c r="B33" t="s">
        <v>22</v>
      </c>
      <c r="C33" t="s">
        <v>219</v>
      </c>
      <c r="D33" t="s">
        <v>73</v>
      </c>
      <c r="E33" t="s">
        <v>163</v>
      </c>
      <c r="H33" t="s">
        <v>294</v>
      </c>
      <c r="I33" t="s">
        <v>222</v>
      </c>
      <c r="J33" t="s">
        <v>295</v>
      </c>
      <c r="K33" t="s">
        <v>296</v>
      </c>
      <c r="L33" t="s">
        <v>297</v>
      </c>
      <c r="M33" t="s">
        <v>298</v>
      </c>
      <c r="N33" t="s">
        <v>33</v>
      </c>
      <c r="P33" t="s">
        <v>114</v>
      </c>
      <c r="Q33" t="s">
        <v>299</v>
      </c>
      <c r="T33" t="s">
        <v>96</v>
      </c>
      <c r="U33" t="s">
        <v>97</v>
      </c>
    </row>
    <row r="34" spans="1:21" ht="18" customHeight="1">
      <c r="A34" t="s">
        <v>300</v>
      </c>
      <c r="B34" t="s">
        <v>22</v>
      </c>
      <c r="C34" t="s">
        <v>23</v>
      </c>
      <c r="D34" t="s">
        <v>301</v>
      </c>
      <c r="E34" t="s">
        <v>151</v>
      </c>
      <c r="F34" t="s">
        <v>302</v>
      </c>
      <c r="G34" t="s">
        <v>303</v>
      </c>
      <c r="H34" t="s">
        <v>304</v>
      </c>
      <c r="J34" t="s">
        <v>92</v>
      </c>
      <c r="K34" t="s">
        <v>111</v>
      </c>
      <c r="N34" t="s">
        <v>305</v>
      </c>
      <c r="O34" t="s">
        <v>306</v>
      </c>
      <c r="P34" t="s">
        <v>51</v>
      </c>
      <c r="Q34" t="s">
        <v>307</v>
      </c>
      <c r="R34" t="s">
        <v>308</v>
      </c>
      <c r="S34" t="s">
        <v>68</v>
      </c>
      <c r="T34" t="s">
        <v>148</v>
      </c>
      <c r="U34" t="s">
        <v>40</v>
      </c>
    </row>
    <row r="35" spans="1:21" ht="18" customHeight="1">
      <c r="A35" t="s">
        <v>309</v>
      </c>
      <c r="B35" t="s">
        <v>241</v>
      </c>
      <c r="C35" t="s">
        <v>120</v>
      </c>
      <c r="D35" t="s">
        <v>73</v>
      </c>
      <c r="E35" t="s">
        <v>74</v>
      </c>
      <c r="G35" t="s">
        <v>61</v>
      </c>
      <c r="H35" t="s">
        <v>27</v>
      </c>
      <c r="I35" t="s">
        <v>289</v>
      </c>
      <c r="J35" t="s">
        <v>92</v>
      </c>
      <c r="K35" t="s">
        <v>134</v>
      </c>
      <c r="L35" t="s">
        <v>103</v>
      </c>
      <c r="M35" t="s">
        <v>179</v>
      </c>
      <c r="N35" t="s">
        <v>34</v>
      </c>
      <c r="O35" t="s">
        <v>310</v>
      </c>
      <c r="P35" t="s">
        <v>35</v>
      </c>
      <c r="Q35" t="s">
        <v>311</v>
      </c>
      <c r="R35" t="s">
        <v>37</v>
      </c>
      <c r="S35" t="s">
        <v>137</v>
      </c>
    </row>
    <row r="36" spans="1:21" ht="18" customHeight="1">
      <c r="A36" t="s">
        <v>312</v>
      </c>
      <c r="B36" t="s">
        <v>119</v>
      </c>
      <c r="C36" t="s">
        <v>313</v>
      </c>
      <c r="D36" t="s">
        <v>87</v>
      </c>
      <c r="E36" t="s">
        <v>88</v>
      </c>
      <c r="I36" t="s">
        <v>289</v>
      </c>
      <c r="J36" t="s">
        <v>314</v>
      </c>
      <c r="K36" t="s">
        <v>134</v>
      </c>
      <c r="L36" t="s">
        <v>49</v>
      </c>
      <c r="N36" t="s">
        <v>33</v>
      </c>
      <c r="O36" t="s">
        <v>80</v>
      </c>
      <c r="P36" t="s">
        <v>35</v>
      </c>
      <c r="Q36" t="s">
        <v>315</v>
      </c>
      <c r="R36" t="s">
        <v>316</v>
      </c>
      <c r="S36" t="s">
        <v>95</v>
      </c>
      <c r="T36" t="s">
        <v>148</v>
      </c>
      <c r="U36" t="s">
        <v>40</v>
      </c>
    </row>
    <row r="37" spans="1:21" ht="18" customHeight="1">
      <c r="B37" t="s">
        <v>129</v>
      </c>
      <c r="C37" t="s">
        <v>260</v>
      </c>
      <c r="E37" t="s">
        <v>163</v>
      </c>
      <c r="G37" t="s">
        <v>317</v>
      </c>
      <c r="H37" t="s">
        <v>318</v>
      </c>
      <c r="I37" t="s">
        <v>101</v>
      </c>
      <c r="J37" t="s">
        <v>319</v>
      </c>
      <c r="K37" t="s">
        <v>77</v>
      </c>
      <c r="L37" t="s">
        <v>229</v>
      </c>
      <c r="M37" t="s">
        <v>145</v>
      </c>
      <c r="P37" t="s">
        <v>81</v>
      </c>
      <c r="Q37" t="s">
        <v>320</v>
      </c>
      <c r="R37" t="s">
        <v>321</v>
      </c>
      <c r="S37" t="s">
        <v>68</v>
      </c>
      <c r="T37" t="s">
        <v>39</v>
      </c>
      <c r="U37" t="s">
        <v>97</v>
      </c>
    </row>
    <row r="38" spans="1:21" ht="18" customHeight="1">
      <c r="A38" t="s">
        <v>322</v>
      </c>
      <c r="B38" t="s">
        <v>323</v>
      </c>
      <c r="C38" t="s">
        <v>140</v>
      </c>
      <c r="D38" t="s">
        <v>73</v>
      </c>
      <c r="E38" t="s">
        <v>248</v>
      </c>
      <c r="G38" t="s">
        <v>61</v>
      </c>
      <c r="H38" t="s">
        <v>324</v>
      </c>
      <c r="I38" t="s">
        <v>91</v>
      </c>
      <c r="K38" t="s">
        <v>77</v>
      </c>
      <c r="L38" t="s">
        <v>229</v>
      </c>
      <c r="M38" t="s">
        <v>325</v>
      </c>
      <c r="N38" t="s">
        <v>326</v>
      </c>
      <c r="O38" t="s">
        <v>80</v>
      </c>
      <c r="P38" t="s">
        <v>51</v>
      </c>
      <c r="Q38" t="s">
        <v>327</v>
      </c>
      <c r="S38" t="s">
        <v>95</v>
      </c>
      <c r="T38" t="s">
        <v>83</v>
      </c>
      <c r="U38" t="s">
        <v>97</v>
      </c>
    </row>
    <row r="39" spans="1:21" ht="18" customHeight="1">
      <c r="A39" t="s">
        <v>328</v>
      </c>
      <c r="B39" t="s">
        <v>119</v>
      </c>
      <c r="C39" t="s">
        <v>130</v>
      </c>
      <c r="D39" t="s">
        <v>73</v>
      </c>
      <c r="E39" t="s">
        <v>88</v>
      </c>
      <c r="G39" t="s">
        <v>176</v>
      </c>
      <c r="H39" t="s">
        <v>27</v>
      </c>
      <c r="I39" t="s">
        <v>227</v>
      </c>
      <c r="K39" t="s">
        <v>102</v>
      </c>
      <c r="L39" t="s">
        <v>224</v>
      </c>
      <c r="M39" t="s">
        <v>145</v>
      </c>
      <c r="N39" t="s">
        <v>329</v>
      </c>
      <c r="O39" t="s">
        <v>245</v>
      </c>
      <c r="P39" t="s">
        <v>49</v>
      </c>
      <c r="Q39" t="s">
        <v>330</v>
      </c>
      <c r="R39" t="s">
        <v>53</v>
      </c>
      <c r="S39" t="s">
        <v>95</v>
      </c>
      <c r="T39" t="s">
        <v>69</v>
      </c>
      <c r="U39" t="s">
        <v>274</v>
      </c>
    </row>
    <row r="40" spans="1:21" ht="18" customHeight="1">
      <c r="A40" t="s">
        <v>331</v>
      </c>
      <c r="B40" t="s">
        <v>56</v>
      </c>
      <c r="C40" t="s">
        <v>23</v>
      </c>
      <c r="D40" t="s">
        <v>24</v>
      </c>
      <c r="E40" t="s">
        <v>59</v>
      </c>
      <c r="G40" t="s">
        <v>332</v>
      </c>
      <c r="H40" t="s">
        <v>333</v>
      </c>
      <c r="I40" t="s">
        <v>101</v>
      </c>
      <c r="J40" t="s">
        <v>334</v>
      </c>
      <c r="K40" t="s">
        <v>30</v>
      </c>
      <c r="L40" t="s">
        <v>124</v>
      </c>
      <c r="M40" t="s">
        <v>335</v>
      </c>
      <c r="N40" t="s">
        <v>336</v>
      </c>
      <c r="O40" t="s">
        <v>204</v>
      </c>
      <c r="P40" t="s">
        <v>49</v>
      </c>
      <c r="Q40" t="s">
        <v>337</v>
      </c>
      <c r="R40" t="s">
        <v>337</v>
      </c>
      <c r="S40" t="s">
        <v>117</v>
      </c>
      <c r="T40" t="s">
        <v>83</v>
      </c>
      <c r="U40" t="s">
        <v>97</v>
      </c>
    </row>
    <row r="41" spans="1:21" ht="18" customHeight="1">
      <c r="A41" t="s">
        <v>338</v>
      </c>
      <c r="B41" t="s">
        <v>161</v>
      </c>
      <c r="C41" t="s">
        <v>260</v>
      </c>
      <c r="D41" t="s">
        <v>339</v>
      </c>
      <c r="E41" t="s">
        <v>88</v>
      </c>
      <c r="G41" t="s">
        <v>340</v>
      </c>
      <c r="H41" t="s">
        <v>341</v>
      </c>
      <c r="I41" t="s">
        <v>46</v>
      </c>
      <c r="K41" t="s">
        <v>48</v>
      </c>
      <c r="L41" t="s">
        <v>49</v>
      </c>
      <c r="M41" t="s">
        <v>342</v>
      </c>
      <c r="O41" t="s">
        <v>204</v>
      </c>
      <c r="Q41" t="s">
        <v>343</v>
      </c>
      <c r="R41" t="s">
        <v>53</v>
      </c>
      <c r="S41" t="s">
        <v>68</v>
      </c>
    </row>
    <row r="42" spans="1:21" ht="18" customHeight="1">
      <c r="B42" t="s">
        <v>241</v>
      </c>
      <c r="C42" t="s">
        <v>344</v>
      </c>
      <c r="D42" t="s">
        <v>345</v>
      </c>
      <c r="E42" t="s">
        <v>59</v>
      </c>
      <c r="F42" t="s">
        <v>346</v>
      </c>
      <c r="H42" t="s">
        <v>347</v>
      </c>
      <c r="J42" t="s">
        <v>348</v>
      </c>
      <c r="K42" t="s">
        <v>102</v>
      </c>
      <c r="L42" t="s">
        <v>103</v>
      </c>
      <c r="M42" t="s">
        <v>349</v>
      </c>
      <c r="Q42" t="s">
        <v>350</v>
      </c>
      <c r="R42" t="s">
        <v>53</v>
      </c>
      <c r="S42" t="s">
        <v>147</v>
      </c>
      <c r="U42" t="s">
        <v>97</v>
      </c>
    </row>
    <row r="43" spans="1:21" ht="18" customHeight="1">
      <c r="B43" t="s">
        <v>218</v>
      </c>
      <c r="C43" t="s">
        <v>282</v>
      </c>
      <c r="D43" t="s">
        <v>24</v>
      </c>
      <c r="E43" t="s">
        <v>163</v>
      </c>
      <c r="G43" t="s">
        <v>351</v>
      </c>
      <c r="H43" t="s">
        <v>352</v>
      </c>
      <c r="I43" t="s">
        <v>110</v>
      </c>
      <c r="K43" t="s">
        <v>134</v>
      </c>
      <c r="L43" t="s">
        <v>195</v>
      </c>
      <c r="M43" t="s">
        <v>179</v>
      </c>
      <c r="N43" t="s">
        <v>353</v>
      </c>
      <c r="O43" t="s">
        <v>80</v>
      </c>
      <c r="P43" t="s">
        <v>93</v>
      </c>
      <c r="Q43" t="s">
        <v>354</v>
      </c>
      <c r="R43" t="s">
        <v>354</v>
      </c>
      <c r="S43" t="s">
        <v>137</v>
      </c>
      <c r="T43" t="s">
        <v>69</v>
      </c>
      <c r="U43" t="s">
        <v>40</v>
      </c>
    </row>
    <row r="44" spans="1:21" ht="18" customHeight="1">
      <c r="A44" t="s">
        <v>355</v>
      </c>
      <c r="B44" t="s">
        <v>356</v>
      </c>
      <c r="C44" t="s">
        <v>357</v>
      </c>
      <c r="G44" t="s">
        <v>61</v>
      </c>
      <c r="H44" t="s">
        <v>358</v>
      </c>
      <c r="I44" t="s">
        <v>91</v>
      </c>
      <c r="K44" t="s">
        <v>48</v>
      </c>
      <c r="L44" t="s">
        <v>78</v>
      </c>
      <c r="M44" t="s">
        <v>359</v>
      </c>
      <c r="N44" t="s">
        <v>33</v>
      </c>
      <c r="O44" t="s">
        <v>80</v>
      </c>
      <c r="P44" t="s">
        <v>114</v>
      </c>
      <c r="Q44" t="s">
        <v>360</v>
      </c>
      <c r="R44" t="s">
        <v>37</v>
      </c>
      <c r="S44" t="s">
        <v>95</v>
      </c>
      <c r="T44" t="s">
        <v>148</v>
      </c>
      <c r="U44" t="s">
        <v>40</v>
      </c>
    </row>
    <row r="45" spans="1:21" ht="18" customHeight="1">
      <c r="A45" t="s">
        <v>361</v>
      </c>
      <c r="B45" t="s">
        <v>356</v>
      </c>
      <c r="C45" t="s">
        <v>130</v>
      </c>
      <c r="D45" t="s">
        <v>24</v>
      </c>
      <c r="E45" t="s">
        <v>88</v>
      </c>
      <c r="G45" t="s">
        <v>362</v>
      </c>
      <c r="H45" t="s">
        <v>363</v>
      </c>
      <c r="I45" t="s">
        <v>28</v>
      </c>
      <c r="J45" t="s">
        <v>92</v>
      </c>
      <c r="K45" t="s">
        <v>134</v>
      </c>
      <c r="L45" t="s">
        <v>195</v>
      </c>
      <c r="M45" t="s">
        <v>364</v>
      </c>
      <c r="N45" t="s">
        <v>365</v>
      </c>
      <c r="O45" t="s">
        <v>366</v>
      </c>
      <c r="P45" t="s">
        <v>49</v>
      </c>
      <c r="Q45" t="s">
        <v>367</v>
      </c>
      <c r="R45" t="s">
        <v>37</v>
      </c>
      <c r="T45" t="s">
        <v>211</v>
      </c>
      <c r="U45" t="s">
        <v>274</v>
      </c>
    </row>
    <row r="46" spans="1:21" ht="18" customHeight="1">
      <c r="A46" t="s">
        <v>368</v>
      </c>
      <c r="B46" t="s">
        <v>119</v>
      </c>
      <c r="C46" t="s">
        <v>130</v>
      </c>
      <c r="D46" t="s">
        <v>87</v>
      </c>
      <c r="E46" t="s">
        <v>25</v>
      </c>
      <c r="G46" t="s">
        <v>61</v>
      </c>
      <c r="H46" t="s">
        <v>369</v>
      </c>
      <c r="I46" t="s">
        <v>110</v>
      </c>
      <c r="J46" t="s">
        <v>370</v>
      </c>
      <c r="K46" t="s">
        <v>134</v>
      </c>
      <c r="L46" t="s">
        <v>229</v>
      </c>
      <c r="M46" t="s">
        <v>371</v>
      </c>
      <c r="O46" t="s">
        <v>80</v>
      </c>
      <c r="Q46" t="s">
        <v>372</v>
      </c>
      <c r="R46" t="s">
        <v>116</v>
      </c>
      <c r="S46" t="s">
        <v>38</v>
      </c>
      <c r="T46" t="s">
        <v>96</v>
      </c>
      <c r="U46" t="s">
        <v>159</v>
      </c>
    </row>
    <row r="47" spans="1:21" ht="18" customHeight="1">
      <c r="A47" t="s">
        <v>373</v>
      </c>
      <c r="B47" t="s">
        <v>56</v>
      </c>
      <c r="C47" t="s">
        <v>374</v>
      </c>
      <c r="D47" t="s">
        <v>87</v>
      </c>
      <c r="E47" t="s">
        <v>183</v>
      </c>
      <c r="G47" t="s">
        <v>375</v>
      </c>
      <c r="H47" t="s">
        <v>376</v>
      </c>
      <c r="I47" t="s">
        <v>76</v>
      </c>
      <c r="K47" t="s">
        <v>77</v>
      </c>
      <c r="L47" t="s">
        <v>31</v>
      </c>
      <c r="M47" t="s">
        <v>377</v>
      </c>
      <c r="N47" t="s">
        <v>378</v>
      </c>
      <c r="O47" t="s">
        <v>204</v>
      </c>
      <c r="P47" t="s">
        <v>49</v>
      </c>
      <c r="Q47" t="s">
        <v>379</v>
      </c>
      <c r="R47" t="s">
        <v>379</v>
      </c>
      <c r="S47" t="s">
        <v>117</v>
      </c>
      <c r="T47" t="s">
        <v>96</v>
      </c>
      <c r="U47" t="s">
        <v>40</v>
      </c>
    </row>
    <row r="48" spans="1:21" ht="18" customHeight="1">
      <c r="A48" t="s">
        <v>380</v>
      </c>
      <c r="B48" t="s">
        <v>323</v>
      </c>
      <c r="C48" t="s">
        <v>282</v>
      </c>
      <c r="D48" t="s">
        <v>73</v>
      </c>
      <c r="E48" t="s">
        <v>248</v>
      </c>
      <c r="G48" t="s">
        <v>381</v>
      </c>
      <c r="H48" t="s">
        <v>382</v>
      </c>
      <c r="I48" t="s">
        <v>46</v>
      </c>
      <c r="K48" t="s">
        <v>144</v>
      </c>
      <c r="L48" t="s">
        <v>49</v>
      </c>
      <c r="N48" t="s">
        <v>66</v>
      </c>
      <c r="P48" t="s">
        <v>176</v>
      </c>
      <c r="Q48" t="s">
        <v>383</v>
      </c>
      <c r="R48" t="s">
        <v>116</v>
      </c>
      <c r="S48" t="s">
        <v>95</v>
      </c>
      <c r="T48" t="s">
        <v>39</v>
      </c>
      <c r="U48" t="s">
        <v>97</v>
      </c>
    </row>
    <row r="49" spans="1:21" ht="18" customHeight="1">
      <c r="A49" t="s">
        <v>384</v>
      </c>
      <c r="B49" t="s">
        <v>212</v>
      </c>
      <c r="C49" t="s">
        <v>130</v>
      </c>
      <c r="D49" t="s">
        <v>24</v>
      </c>
      <c r="E49" t="s">
        <v>163</v>
      </c>
      <c r="G49" t="s">
        <v>176</v>
      </c>
      <c r="H49" t="s">
        <v>385</v>
      </c>
      <c r="I49" t="s">
        <v>110</v>
      </c>
      <c r="J49" t="s">
        <v>386</v>
      </c>
      <c r="K49" t="s">
        <v>77</v>
      </c>
      <c r="L49" t="s">
        <v>124</v>
      </c>
      <c r="M49" t="s">
        <v>179</v>
      </c>
      <c r="N49" t="s">
        <v>387</v>
      </c>
      <c r="O49" t="s">
        <v>388</v>
      </c>
      <c r="P49" t="s">
        <v>114</v>
      </c>
      <c r="Q49" t="s">
        <v>389</v>
      </c>
      <c r="S49" t="s">
        <v>68</v>
      </c>
      <c r="T49" t="s">
        <v>96</v>
      </c>
      <c r="U49" t="s">
        <v>159</v>
      </c>
    </row>
    <row r="50" spans="1:21" ht="18" customHeight="1">
      <c r="B50" t="s">
        <v>390</v>
      </c>
      <c r="C50" t="s">
        <v>374</v>
      </c>
      <c r="D50" t="s">
        <v>73</v>
      </c>
      <c r="E50" t="s">
        <v>59</v>
      </c>
      <c r="H50" t="s">
        <v>391</v>
      </c>
      <c r="I50" t="s">
        <v>101</v>
      </c>
      <c r="L50" t="s">
        <v>297</v>
      </c>
      <c r="M50" t="s">
        <v>179</v>
      </c>
      <c r="N50" t="s">
        <v>392</v>
      </c>
      <c r="O50" t="s">
        <v>238</v>
      </c>
      <c r="P50" t="s">
        <v>35</v>
      </c>
      <c r="Q50" t="s">
        <v>393</v>
      </c>
      <c r="R50" t="s">
        <v>53</v>
      </c>
      <c r="S50" t="s">
        <v>38</v>
      </c>
      <c r="U50" t="s">
        <v>97</v>
      </c>
    </row>
    <row r="51" spans="1:21" ht="18" customHeight="1">
      <c r="B51" t="s">
        <v>218</v>
      </c>
      <c r="C51" t="s">
        <v>394</v>
      </c>
      <c r="E51" t="s">
        <v>163</v>
      </c>
      <c r="H51" t="s">
        <v>395</v>
      </c>
      <c r="I51" t="s">
        <v>110</v>
      </c>
      <c r="J51" t="s">
        <v>92</v>
      </c>
      <c r="K51" t="s">
        <v>144</v>
      </c>
      <c r="L51" t="s">
        <v>155</v>
      </c>
      <c r="N51" t="s">
        <v>305</v>
      </c>
      <c r="O51" t="s">
        <v>396</v>
      </c>
      <c r="P51" t="s">
        <v>51</v>
      </c>
      <c r="Q51" t="s">
        <v>397</v>
      </c>
      <c r="R51" t="s">
        <v>397</v>
      </c>
      <c r="S51" t="s">
        <v>137</v>
      </c>
      <c r="T51" t="s">
        <v>211</v>
      </c>
      <c r="U51" t="s">
        <v>97</v>
      </c>
    </row>
    <row r="52" spans="1:21" ht="18" customHeight="1">
      <c r="A52" t="s">
        <v>398</v>
      </c>
      <c r="B52" t="s">
        <v>212</v>
      </c>
      <c r="C52" t="s">
        <v>242</v>
      </c>
      <c r="E52" t="s">
        <v>88</v>
      </c>
      <c r="G52" t="s">
        <v>399</v>
      </c>
      <c r="I52" t="s">
        <v>28</v>
      </c>
      <c r="J52" t="s">
        <v>92</v>
      </c>
      <c r="K52" t="s">
        <v>111</v>
      </c>
      <c r="L52" t="s">
        <v>167</v>
      </c>
      <c r="M52" t="s">
        <v>145</v>
      </c>
      <c r="N52" t="s">
        <v>400</v>
      </c>
      <c r="O52" t="s">
        <v>80</v>
      </c>
      <c r="P52" t="s">
        <v>176</v>
      </c>
      <c r="R52" t="s">
        <v>401</v>
      </c>
      <c r="S52" t="s">
        <v>147</v>
      </c>
      <c r="T52" t="s">
        <v>69</v>
      </c>
      <c r="U52" t="s">
        <v>171</v>
      </c>
    </row>
    <row r="53" spans="1:21" ht="18" customHeight="1">
      <c r="B53" t="s">
        <v>173</v>
      </c>
      <c r="C53" t="s">
        <v>242</v>
      </c>
      <c r="D53" t="s">
        <v>24</v>
      </c>
      <c r="E53" t="s">
        <v>25</v>
      </c>
      <c r="I53" t="s">
        <v>46</v>
      </c>
      <c r="J53" t="s">
        <v>402</v>
      </c>
      <c r="K53" t="s">
        <v>144</v>
      </c>
      <c r="L53" t="s">
        <v>103</v>
      </c>
      <c r="M53" t="s">
        <v>145</v>
      </c>
      <c r="N53" t="s">
        <v>403</v>
      </c>
      <c r="O53" t="s">
        <v>80</v>
      </c>
      <c r="Q53" t="s">
        <v>404</v>
      </c>
      <c r="S53" t="s">
        <v>117</v>
      </c>
      <c r="T53" t="s">
        <v>96</v>
      </c>
      <c r="U53" t="s">
        <v>97</v>
      </c>
    </row>
    <row r="54" spans="1:21" ht="18" customHeight="1">
      <c r="A54" t="s">
        <v>405</v>
      </c>
      <c r="B54" t="s">
        <v>218</v>
      </c>
      <c r="C54" t="s">
        <v>72</v>
      </c>
      <c r="D54" t="s">
        <v>73</v>
      </c>
      <c r="E54" t="s">
        <v>88</v>
      </c>
      <c r="G54" t="s">
        <v>406</v>
      </c>
      <c r="H54" t="s">
        <v>407</v>
      </c>
      <c r="I54" t="s">
        <v>101</v>
      </c>
      <c r="J54" t="s">
        <v>92</v>
      </c>
      <c r="K54" t="s">
        <v>77</v>
      </c>
      <c r="L54" t="s">
        <v>78</v>
      </c>
      <c r="M54" t="s">
        <v>408</v>
      </c>
      <c r="N54" t="s">
        <v>409</v>
      </c>
      <c r="O54" t="s">
        <v>80</v>
      </c>
      <c r="Q54" t="s">
        <v>410</v>
      </c>
      <c r="R54" t="s">
        <v>53</v>
      </c>
      <c r="S54" t="s">
        <v>147</v>
      </c>
      <c r="T54" t="s">
        <v>83</v>
      </c>
      <c r="U54" t="s">
        <v>40</v>
      </c>
    </row>
    <row r="55" spans="1:21" ht="18" customHeight="1">
      <c r="B55" t="s">
        <v>390</v>
      </c>
      <c r="C55" t="s">
        <v>57</v>
      </c>
      <c r="E55" t="s">
        <v>88</v>
      </c>
      <c r="G55" t="s">
        <v>176</v>
      </c>
      <c r="H55" t="s">
        <v>27</v>
      </c>
      <c r="I55" t="s">
        <v>222</v>
      </c>
      <c r="J55" t="s">
        <v>411</v>
      </c>
      <c r="K55" t="s">
        <v>77</v>
      </c>
      <c r="L55" t="s">
        <v>412</v>
      </c>
      <c r="O55" t="s">
        <v>204</v>
      </c>
      <c r="P55" t="s">
        <v>176</v>
      </c>
      <c r="Q55" t="s">
        <v>413</v>
      </c>
      <c r="R55" t="s">
        <v>37</v>
      </c>
      <c r="S55" t="s">
        <v>95</v>
      </c>
      <c r="T55" t="s">
        <v>69</v>
      </c>
      <c r="U55" t="s">
        <v>40</v>
      </c>
    </row>
    <row r="56" spans="1:21" ht="18" customHeight="1">
      <c r="A56" t="s">
        <v>414</v>
      </c>
      <c r="B56" t="s">
        <v>119</v>
      </c>
      <c r="C56" t="s">
        <v>120</v>
      </c>
      <c r="D56" t="s">
        <v>87</v>
      </c>
      <c r="E56" t="s">
        <v>59</v>
      </c>
      <c r="H56" t="s">
        <v>27</v>
      </c>
      <c r="I56" t="s">
        <v>101</v>
      </c>
      <c r="J56" t="s">
        <v>415</v>
      </c>
      <c r="K56" t="s">
        <v>134</v>
      </c>
      <c r="L56" t="s">
        <v>195</v>
      </c>
      <c r="M56" t="s">
        <v>416</v>
      </c>
      <c r="P56" t="s">
        <v>49</v>
      </c>
      <c r="Q56" t="s">
        <v>417</v>
      </c>
      <c r="R56" t="s">
        <v>417</v>
      </c>
      <c r="S56" t="s">
        <v>137</v>
      </c>
      <c r="T56" t="s">
        <v>69</v>
      </c>
      <c r="U56" t="s">
        <v>274</v>
      </c>
    </row>
    <row r="57" spans="1:21" ht="18" customHeight="1">
      <c r="B57" t="s">
        <v>161</v>
      </c>
      <c r="C57" t="s">
        <v>374</v>
      </c>
      <c r="D57" t="s">
        <v>24</v>
      </c>
      <c r="E57" t="s">
        <v>234</v>
      </c>
      <c r="G57" t="s">
        <v>418</v>
      </c>
      <c r="J57" t="s">
        <v>92</v>
      </c>
      <c r="K57" t="s">
        <v>30</v>
      </c>
      <c r="L57" t="s">
        <v>49</v>
      </c>
      <c r="M57" t="s">
        <v>419</v>
      </c>
      <c r="N57" t="s">
        <v>420</v>
      </c>
      <c r="O57" t="s">
        <v>421</v>
      </c>
      <c r="P57" t="s">
        <v>35</v>
      </c>
      <c r="Q57" t="s">
        <v>422</v>
      </c>
      <c r="R57" t="s">
        <v>37</v>
      </c>
      <c r="S57" t="s">
        <v>68</v>
      </c>
      <c r="T57" t="s">
        <v>148</v>
      </c>
    </row>
    <row r="58" spans="1:21" ht="18" customHeight="1">
      <c r="A58" t="s">
        <v>423</v>
      </c>
      <c r="B58" t="s">
        <v>424</v>
      </c>
      <c r="C58" t="s">
        <v>269</v>
      </c>
      <c r="D58" t="s">
        <v>24</v>
      </c>
      <c r="E58" t="s">
        <v>59</v>
      </c>
      <c r="G58" t="s">
        <v>61</v>
      </c>
      <c r="H58" t="s">
        <v>425</v>
      </c>
      <c r="I58" t="s">
        <v>91</v>
      </c>
      <c r="K58" t="s">
        <v>102</v>
      </c>
      <c r="L58" t="s">
        <v>412</v>
      </c>
      <c r="N58" t="s">
        <v>426</v>
      </c>
      <c r="O58" t="s">
        <v>80</v>
      </c>
      <c r="P58" t="s">
        <v>176</v>
      </c>
      <c r="Q58" t="s">
        <v>427</v>
      </c>
      <c r="R58" t="s">
        <v>37</v>
      </c>
      <c r="S58" t="s">
        <v>68</v>
      </c>
      <c r="T58" t="s">
        <v>54</v>
      </c>
      <c r="U58" t="s">
        <v>97</v>
      </c>
    </row>
    <row r="59" spans="1:21" ht="18" customHeight="1">
      <c r="A59" t="s">
        <v>428</v>
      </c>
      <c r="B59" t="s">
        <v>99</v>
      </c>
      <c r="C59" t="s">
        <v>23</v>
      </c>
      <c r="D59" t="s">
        <v>24</v>
      </c>
      <c r="E59" t="s">
        <v>234</v>
      </c>
      <c r="I59" t="s">
        <v>46</v>
      </c>
      <c r="J59" t="s">
        <v>429</v>
      </c>
      <c r="K59" t="s">
        <v>48</v>
      </c>
      <c r="L59" t="s">
        <v>297</v>
      </c>
      <c r="M59" t="s">
        <v>430</v>
      </c>
      <c r="O59" t="s">
        <v>80</v>
      </c>
      <c r="P59" t="s">
        <v>176</v>
      </c>
      <c r="Q59" t="s">
        <v>431</v>
      </c>
      <c r="S59" t="s">
        <v>147</v>
      </c>
      <c r="T59" t="s">
        <v>39</v>
      </c>
    </row>
    <row r="60" spans="1:21" ht="18" customHeight="1">
      <c r="A60" t="s">
        <v>432</v>
      </c>
      <c r="B60" t="s">
        <v>259</v>
      </c>
      <c r="C60" t="s">
        <v>72</v>
      </c>
      <c r="D60" t="s">
        <v>24</v>
      </c>
      <c r="E60" t="s">
        <v>163</v>
      </c>
      <c r="G60" t="s">
        <v>433</v>
      </c>
      <c r="I60" t="s">
        <v>110</v>
      </c>
      <c r="K60" t="s">
        <v>296</v>
      </c>
      <c r="L60" t="s">
        <v>297</v>
      </c>
      <c r="M60" t="s">
        <v>434</v>
      </c>
      <c r="N60" t="s">
        <v>33</v>
      </c>
      <c r="O60" t="s">
        <v>80</v>
      </c>
      <c r="Q60" t="s">
        <v>435</v>
      </c>
      <c r="R60" t="s">
        <v>53</v>
      </c>
      <c r="S60" t="s">
        <v>147</v>
      </c>
      <c r="T60" t="s">
        <v>148</v>
      </c>
      <c r="U60" t="s">
        <v>97</v>
      </c>
    </row>
    <row r="61" spans="1:21" ht="18" customHeight="1">
      <c r="B61" t="s">
        <v>99</v>
      </c>
      <c r="C61" t="s">
        <v>374</v>
      </c>
      <c r="D61" t="s">
        <v>73</v>
      </c>
      <c r="E61" t="s">
        <v>74</v>
      </c>
      <c r="G61" t="s">
        <v>436</v>
      </c>
      <c r="H61" t="s">
        <v>437</v>
      </c>
      <c r="I61" t="s">
        <v>227</v>
      </c>
      <c r="J61" t="s">
        <v>92</v>
      </c>
      <c r="K61" t="s">
        <v>144</v>
      </c>
      <c r="L61" t="s">
        <v>297</v>
      </c>
      <c r="N61" t="s">
        <v>33</v>
      </c>
      <c r="O61" t="s">
        <v>238</v>
      </c>
      <c r="P61" t="s">
        <v>176</v>
      </c>
      <c r="Q61" t="s">
        <v>438</v>
      </c>
      <c r="R61" t="s">
        <v>37</v>
      </c>
      <c r="T61" t="s">
        <v>54</v>
      </c>
      <c r="U61" t="s">
        <v>97</v>
      </c>
    </row>
    <row r="62" spans="1:21" ht="18" customHeight="1">
      <c r="A62" t="s">
        <v>439</v>
      </c>
      <c r="B62" t="s">
        <v>323</v>
      </c>
      <c r="C62" t="s">
        <v>440</v>
      </c>
      <c r="D62" t="s">
        <v>73</v>
      </c>
      <c r="E62" t="s">
        <v>59</v>
      </c>
      <c r="H62" t="s">
        <v>441</v>
      </c>
      <c r="I62" t="s">
        <v>28</v>
      </c>
      <c r="J62" t="s">
        <v>442</v>
      </c>
      <c r="K62" t="s">
        <v>48</v>
      </c>
      <c r="L62" t="s">
        <v>195</v>
      </c>
      <c r="M62" t="s">
        <v>443</v>
      </c>
      <c r="N62" t="s">
        <v>444</v>
      </c>
      <c r="O62" t="s">
        <v>204</v>
      </c>
      <c r="Q62" t="s">
        <v>445</v>
      </c>
      <c r="S62" t="s">
        <v>137</v>
      </c>
      <c r="T62" t="s">
        <v>211</v>
      </c>
      <c r="U62" t="s">
        <v>40</v>
      </c>
    </row>
    <row r="63" spans="1:21" ht="18" customHeight="1">
      <c r="A63" t="s">
        <v>446</v>
      </c>
      <c r="B63" t="s">
        <v>161</v>
      </c>
      <c r="C63" t="s">
        <v>120</v>
      </c>
      <c r="D63" t="s">
        <v>87</v>
      </c>
      <c r="E63" t="s">
        <v>59</v>
      </c>
      <c r="H63" t="s">
        <v>447</v>
      </c>
      <c r="I63" t="s">
        <v>76</v>
      </c>
      <c r="J63" t="s">
        <v>448</v>
      </c>
      <c r="K63" t="s">
        <v>111</v>
      </c>
      <c r="M63" t="s">
        <v>449</v>
      </c>
      <c r="N63" t="s">
        <v>33</v>
      </c>
      <c r="O63" t="s">
        <v>204</v>
      </c>
      <c r="P63" t="s">
        <v>51</v>
      </c>
      <c r="Q63" t="s">
        <v>450</v>
      </c>
      <c r="S63" t="s">
        <v>117</v>
      </c>
      <c r="T63" t="s">
        <v>96</v>
      </c>
      <c r="U63" t="s">
        <v>159</v>
      </c>
    </row>
    <row r="64" spans="1:21" ht="18" customHeight="1">
      <c r="A64" t="s">
        <v>451</v>
      </c>
      <c r="B64" t="s">
        <v>452</v>
      </c>
      <c r="C64" t="s">
        <v>440</v>
      </c>
      <c r="D64" t="s">
        <v>453</v>
      </c>
      <c r="E64" t="s">
        <v>59</v>
      </c>
      <c r="F64" t="s">
        <v>454</v>
      </c>
      <c r="G64" t="s">
        <v>455</v>
      </c>
      <c r="H64" t="s">
        <v>456</v>
      </c>
      <c r="I64" t="s">
        <v>110</v>
      </c>
      <c r="J64" t="s">
        <v>457</v>
      </c>
      <c r="K64" t="s">
        <v>111</v>
      </c>
      <c r="L64" t="s">
        <v>49</v>
      </c>
      <c r="M64" t="s">
        <v>458</v>
      </c>
      <c r="N64" t="s">
        <v>459</v>
      </c>
      <c r="P64" t="s">
        <v>176</v>
      </c>
      <c r="Q64" t="s">
        <v>460</v>
      </c>
      <c r="R64" t="s">
        <v>37</v>
      </c>
      <c r="S64" t="s">
        <v>137</v>
      </c>
      <c r="T64" t="s">
        <v>83</v>
      </c>
    </row>
    <row r="65" spans="1:21" ht="18" customHeight="1">
      <c r="B65" t="s">
        <v>233</v>
      </c>
      <c r="C65" t="s">
        <v>461</v>
      </c>
      <c r="D65" t="s">
        <v>462</v>
      </c>
      <c r="F65" t="s">
        <v>463</v>
      </c>
      <c r="G65" t="s">
        <v>464</v>
      </c>
      <c r="H65" t="s">
        <v>27</v>
      </c>
      <c r="I65" t="s">
        <v>46</v>
      </c>
      <c r="J65" t="s">
        <v>465</v>
      </c>
      <c r="K65" t="s">
        <v>296</v>
      </c>
      <c r="L65" t="s">
        <v>224</v>
      </c>
      <c r="N65" t="s">
        <v>466</v>
      </c>
      <c r="P65" t="s">
        <v>93</v>
      </c>
      <c r="Q65" t="s">
        <v>467</v>
      </c>
      <c r="R65" t="s">
        <v>37</v>
      </c>
      <c r="T65" t="s">
        <v>211</v>
      </c>
      <c r="U65" t="s">
        <v>97</v>
      </c>
    </row>
    <row r="66" spans="1:21" ht="18" customHeight="1">
      <c r="A66" t="s">
        <v>468</v>
      </c>
      <c r="B66" t="s">
        <v>22</v>
      </c>
      <c r="C66" t="s">
        <v>57</v>
      </c>
      <c r="D66" t="s">
        <v>469</v>
      </c>
      <c r="E66" t="s">
        <v>74</v>
      </c>
      <c r="F66" t="s">
        <v>470</v>
      </c>
      <c r="G66" t="s">
        <v>176</v>
      </c>
      <c r="H66" t="s">
        <v>471</v>
      </c>
      <c r="J66" t="s">
        <v>472</v>
      </c>
      <c r="K66" t="s">
        <v>102</v>
      </c>
      <c r="L66" t="s">
        <v>65</v>
      </c>
      <c r="M66" t="s">
        <v>179</v>
      </c>
      <c r="N66" t="s">
        <v>33</v>
      </c>
      <c r="O66" t="s">
        <v>204</v>
      </c>
      <c r="P66" t="s">
        <v>35</v>
      </c>
      <c r="Q66" t="s">
        <v>473</v>
      </c>
      <c r="R66" t="s">
        <v>473</v>
      </c>
      <c r="S66" t="s">
        <v>147</v>
      </c>
      <c r="T66" t="s">
        <v>211</v>
      </c>
    </row>
    <row r="67" spans="1:21" ht="18" customHeight="1">
      <c r="A67" t="s">
        <v>474</v>
      </c>
      <c r="B67" t="s">
        <v>452</v>
      </c>
      <c r="C67" t="s">
        <v>475</v>
      </c>
      <c r="D67" t="s">
        <v>87</v>
      </c>
      <c r="E67" t="s">
        <v>59</v>
      </c>
      <c r="G67" t="s">
        <v>476</v>
      </c>
      <c r="H67" t="s">
        <v>27</v>
      </c>
      <c r="I67" t="s">
        <v>289</v>
      </c>
      <c r="L67" t="s">
        <v>65</v>
      </c>
      <c r="M67" t="s">
        <v>477</v>
      </c>
      <c r="O67" t="s">
        <v>204</v>
      </c>
      <c r="P67" t="s">
        <v>51</v>
      </c>
      <c r="Q67" t="s">
        <v>478</v>
      </c>
      <c r="S67" t="s">
        <v>95</v>
      </c>
      <c r="T67" t="s">
        <v>39</v>
      </c>
    </row>
    <row r="68" spans="1:21" ht="18" customHeight="1">
      <c r="B68" t="s">
        <v>129</v>
      </c>
      <c r="C68" t="s">
        <v>120</v>
      </c>
      <c r="E68" t="s">
        <v>234</v>
      </c>
      <c r="G68" t="s">
        <v>176</v>
      </c>
      <c r="H68" t="s">
        <v>479</v>
      </c>
      <c r="I68" t="s">
        <v>76</v>
      </c>
      <c r="K68" t="s">
        <v>30</v>
      </c>
      <c r="M68" t="s">
        <v>179</v>
      </c>
      <c r="N68" t="s">
        <v>480</v>
      </c>
      <c r="O68" t="s">
        <v>80</v>
      </c>
      <c r="P68" t="s">
        <v>81</v>
      </c>
      <c r="Q68" t="s">
        <v>481</v>
      </c>
      <c r="R68" t="s">
        <v>481</v>
      </c>
      <c r="S68" t="s">
        <v>95</v>
      </c>
      <c r="T68" t="s">
        <v>39</v>
      </c>
      <c r="U68" t="s">
        <v>159</v>
      </c>
    </row>
    <row r="69" spans="1:21" ht="18" customHeight="1">
      <c r="A69" t="s">
        <v>482</v>
      </c>
      <c r="B69" t="s">
        <v>129</v>
      </c>
      <c r="C69" t="s">
        <v>219</v>
      </c>
      <c r="D69" t="s">
        <v>339</v>
      </c>
      <c r="E69" t="s">
        <v>234</v>
      </c>
      <c r="F69" t="s">
        <v>483</v>
      </c>
      <c r="G69" t="s">
        <v>484</v>
      </c>
      <c r="H69" t="s">
        <v>27</v>
      </c>
      <c r="I69" t="s">
        <v>46</v>
      </c>
      <c r="K69" t="s">
        <v>48</v>
      </c>
      <c r="L69" t="s">
        <v>49</v>
      </c>
      <c r="N69" t="s">
        <v>466</v>
      </c>
      <c r="Q69" t="s">
        <v>485</v>
      </c>
      <c r="R69" t="s">
        <v>37</v>
      </c>
      <c r="S69" t="s">
        <v>117</v>
      </c>
      <c r="T69" t="s">
        <v>54</v>
      </c>
    </row>
    <row r="70" spans="1:21" ht="18" customHeight="1">
      <c r="A70" t="s">
        <v>486</v>
      </c>
      <c r="B70" t="s">
        <v>71</v>
      </c>
      <c r="C70" t="s">
        <v>282</v>
      </c>
      <c r="E70" t="s">
        <v>59</v>
      </c>
      <c r="G70" t="s">
        <v>487</v>
      </c>
      <c r="H70" t="s">
        <v>488</v>
      </c>
      <c r="I70" t="s">
        <v>46</v>
      </c>
      <c r="J70" t="s">
        <v>92</v>
      </c>
      <c r="K70" t="s">
        <v>296</v>
      </c>
      <c r="M70" t="s">
        <v>489</v>
      </c>
      <c r="O70" t="s">
        <v>490</v>
      </c>
      <c r="P70" t="s">
        <v>51</v>
      </c>
      <c r="Q70" t="s">
        <v>491</v>
      </c>
      <c r="R70" t="s">
        <v>116</v>
      </c>
      <c r="S70" t="s">
        <v>117</v>
      </c>
      <c r="T70" t="s">
        <v>69</v>
      </c>
      <c r="U70" t="s">
        <v>40</v>
      </c>
    </row>
    <row r="71" spans="1:21" ht="18" customHeight="1">
      <c r="A71" t="s">
        <v>492</v>
      </c>
      <c r="B71" t="s">
        <v>71</v>
      </c>
      <c r="C71" t="s">
        <v>461</v>
      </c>
      <c r="D71" t="s">
        <v>87</v>
      </c>
      <c r="G71" t="s">
        <v>61</v>
      </c>
      <c r="H71" t="s">
        <v>27</v>
      </c>
      <c r="I71" t="s">
        <v>222</v>
      </c>
      <c r="K71" t="s">
        <v>296</v>
      </c>
      <c r="L71" t="s">
        <v>229</v>
      </c>
      <c r="M71" t="s">
        <v>252</v>
      </c>
      <c r="P71" t="s">
        <v>49</v>
      </c>
      <c r="Q71" t="s">
        <v>493</v>
      </c>
      <c r="R71" t="s">
        <v>116</v>
      </c>
      <c r="S71" t="s">
        <v>147</v>
      </c>
      <c r="U71" t="s">
        <v>97</v>
      </c>
    </row>
    <row r="72" spans="1:21" ht="18" customHeight="1">
      <c r="A72" t="s">
        <v>494</v>
      </c>
      <c r="B72" t="s">
        <v>259</v>
      </c>
      <c r="C72" t="s">
        <v>120</v>
      </c>
      <c r="E72" t="s">
        <v>234</v>
      </c>
      <c r="G72" t="s">
        <v>176</v>
      </c>
      <c r="H72" t="s">
        <v>495</v>
      </c>
      <c r="I72" t="s">
        <v>222</v>
      </c>
      <c r="J72" t="s">
        <v>496</v>
      </c>
      <c r="K72" t="s">
        <v>296</v>
      </c>
      <c r="L72" t="s">
        <v>65</v>
      </c>
      <c r="M72" t="s">
        <v>497</v>
      </c>
      <c r="O72" t="s">
        <v>80</v>
      </c>
      <c r="P72" t="s">
        <v>93</v>
      </c>
      <c r="Q72" t="s">
        <v>498</v>
      </c>
      <c r="R72" t="s">
        <v>37</v>
      </c>
      <c r="S72" t="s">
        <v>117</v>
      </c>
      <c r="T72" t="s">
        <v>211</v>
      </c>
      <c r="U72" t="s">
        <v>171</v>
      </c>
    </row>
    <row r="73" spans="1:21" ht="18" customHeight="1">
      <c r="A73" t="s">
        <v>499</v>
      </c>
      <c r="B73" t="s">
        <v>161</v>
      </c>
      <c r="C73" t="s">
        <v>162</v>
      </c>
      <c r="E73" t="s">
        <v>248</v>
      </c>
      <c r="G73" t="s">
        <v>61</v>
      </c>
      <c r="I73" t="s">
        <v>101</v>
      </c>
      <c r="J73" t="s">
        <v>500</v>
      </c>
      <c r="K73" t="s">
        <v>30</v>
      </c>
      <c r="L73" t="s">
        <v>195</v>
      </c>
      <c r="N73" t="s">
        <v>501</v>
      </c>
      <c r="Q73" t="s">
        <v>502</v>
      </c>
      <c r="R73" t="s">
        <v>502</v>
      </c>
      <c r="S73" t="s">
        <v>137</v>
      </c>
      <c r="T73" t="s">
        <v>69</v>
      </c>
      <c r="U73" t="s">
        <v>159</v>
      </c>
    </row>
    <row r="74" spans="1:21" ht="18" customHeight="1">
      <c r="A74" t="s">
        <v>503</v>
      </c>
      <c r="B74" t="s">
        <v>71</v>
      </c>
      <c r="C74" t="s">
        <v>43</v>
      </c>
      <c r="E74" t="s">
        <v>234</v>
      </c>
      <c r="G74" t="s">
        <v>61</v>
      </c>
      <c r="H74" t="s">
        <v>27</v>
      </c>
      <c r="I74" t="s">
        <v>101</v>
      </c>
      <c r="J74" t="s">
        <v>504</v>
      </c>
      <c r="K74" t="s">
        <v>111</v>
      </c>
      <c r="L74" t="s">
        <v>31</v>
      </c>
      <c r="M74" t="s">
        <v>505</v>
      </c>
      <c r="N74" t="s">
        <v>506</v>
      </c>
      <c r="O74" t="s">
        <v>507</v>
      </c>
      <c r="P74" t="s">
        <v>35</v>
      </c>
      <c r="Q74" t="s">
        <v>508</v>
      </c>
      <c r="R74" t="s">
        <v>509</v>
      </c>
      <c r="S74" t="s">
        <v>137</v>
      </c>
      <c r="T74" t="s">
        <v>148</v>
      </c>
      <c r="U74" t="s">
        <v>159</v>
      </c>
    </row>
    <row r="75" spans="1:21" ht="18" customHeight="1">
      <c r="A75" t="s">
        <v>510</v>
      </c>
      <c r="B75" t="s">
        <v>511</v>
      </c>
      <c r="C75" t="s">
        <v>130</v>
      </c>
      <c r="D75" t="s">
        <v>24</v>
      </c>
      <c r="E75" t="s">
        <v>151</v>
      </c>
      <c r="H75" t="s">
        <v>512</v>
      </c>
      <c r="I75" t="s">
        <v>222</v>
      </c>
      <c r="J75" t="s">
        <v>92</v>
      </c>
      <c r="L75" t="s">
        <v>229</v>
      </c>
      <c r="M75" t="s">
        <v>179</v>
      </c>
      <c r="N75" t="s">
        <v>513</v>
      </c>
      <c r="O75" t="s">
        <v>204</v>
      </c>
      <c r="P75" t="s">
        <v>51</v>
      </c>
      <c r="Q75" t="s">
        <v>514</v>
      </c>
      <c r="R75" t="s">
        <v>53</v>
      </c>
      <c r="S75" t="s">
        <v>68</v>
      </c>
      <c r="T75" t="s">
        <v>39</v>
      </c>
      <c r="U75" t="s">
        <v>40</v>
      </c>
    </row>
    <row r="76" spans="1:21" ht="18" customHeight="1">
      <c r="A76" t="s">
        <v>515</v>
      </c>
      <c r="B76" t="s">
        <v>356</v>
      </c>
      <c r="C76" t="s">
        <v>43</v>
      </c>
      <c r="D76" t="s">
        <v>87</v>
      </c>
      <c r="E76" t="s">
        <v>234</v>
      </c>
      <c r="G76" t="s">
        <v>61</v>
      </c>
      <c r="H76" t="s">
        <v>516</v>
      </c>
      <c r="I76" t="s">
        <v>222</v>
      </c>
      <c r="K76" t="s">
        <v>296</v>
      </c>
      <c r="M76" t="s">
        <v>145</v>
      </c>
      <c r="N76" t="s">
        <v>33</v>
      </c>
      <c r="O76" t="s">
        <v>517</v>
      </c>
      <c r="P76" t="s">
        <v>176</v>
      </c>
      <c r="Q76" t="s">
        <v>518</v>
      </c>
      <c r="R76" t="s">
        <v>518</v>
      </c>
      <c r="S76" t="s">
        <v>147</v>
      </c>
      <c r="T76" t="s">
        <v>83</v>
      </c>
      <c r="U76" t="s">
        <v>97</v>
      </c>
    </row>
    <row r="77" spans="1:21" ht="18" customHeight="1">
      <c r="A77" t="s">
        <v>519</v>
      </c>
      <c r="B77" t="s">
        <v>139</v>
      </c>
      <c r="C77" t="s">
        <v>120</v>
      </c>
      <c r="D77" t="s">
        <v>520</v>
      </c>
      <c r="E77" t="s">
        <v>88</v>
      </c>
      <c r="G77" t="s">
        <v>521</v>
      </c>
      <c r="H77" t="s">
        <v>522</v>
      </c>
      <c r="I77" t="s">
        <v>76</v>
      </c>
      <c r="J77" t="s">
        <v>523</v>
      </c>
      <c r="K77" t="s">
        <v>296</v>
      </c>
      <c r="M77" t="s">
        <v>145</v>
      </c>
      <c r="N77" t="s">
        <v>524</v>
      </c>
      <c r="O77" t="s">
        <v>80</v>
      </c>
      <c r="P77" t="s">
        <v>93</v>
      </c>
      <c r="Q77" t="s">
        <v>525</v>
      </c>
      <c r="R77" t="s">
        <v>116</v>
      </c>
      <c r="S77" t="s">
        <v>117</v>
      </c>
    </row>
    <row r="78" spans="1:21" ht="18" customHeight="1">
      <c r="A78" t="s">
        <v>526</v>
      </c>
      <c r="B78" t="s">
        <v>390</v>
      </c>
      <c r="C78" t="s">
        <v>260</v>
      </c>
      <c r="D78" t="s">
        <v>24</v>
      </c>
      <c r="E78" t="s">
        <v>88</v>
      </c>
      <c r="G78" t="s">
        <v>527</v>
      </c>
      <c r="H78" t="s">
        <v>528</v>
      </c>
      <c r="I78" t="s">
        <v>91</v>
      </c>
      <c r="J78" t="s">
        <v>166</v>
      </c>
      <c r="K78" t="s">
        <v>144</v>
      </c>
      <c r="L78" t="s">
        <v>229</v>
      </c>
      <c r="M78" t="s">
        <v>145</v>
      </c>
      <c r="O78" t="s">
        <v>80</v>
      </c>
      <c r="P78" t="s">
        <v>176</v>
      </c>
      <c r="Q78" t="s">
        <v>529</v>
      </c>
      <c r="R78" t="s">
        <v>530</v>
      </c>
      <c r="S78" t="s">
        <v>38</v>
      </c>
      <c r="T78" t="s">
        <v>39</v>
      </c>
      <c r="U78" t="s">
        <v>171</v>
      </c>
    </row>
    <row r="79" spans="1:21" ht="18" customHeight="1">
      <c r="A79" t="s">
        <v>531</v>
      </c>
      <c r="B79" t="s">
        <v>99</v>
      </c>
      <c r="C79" t="s">
        <v>140</v>
      </c>
      <c r="D79" t="s">
        <v>73</v>
      </c>
      <c r="E79" t="s">
        <v>25</v>
      </c>
      <c r="G79" t="s">
        <v>532</v>
      </c>
      <c r="H79" t="s">
        <v>533</v>
      </c>
      <c r="I79" t="s">
        <v>110</v>
      </c>
      <c r="J79" t="s">
        <v>92</v>
      </c>
      <c r="K79" t="s">
        <v>77</v>
      </c>
      <c r="L79" t="s">
        <v>229</v>
      </c>
      <c r="M79" t="s">
        <v>534</v>
      </c>
      <c r="P79" t="s">
        <v>114</v>
      </c>
      <c r="Q79" t="s">
        <v>535</v>
      </c>
      <c r="R79" t="s">
        <v>535</v>
      </c>
      <c r="S79" t="s">
        <v>137</v>
      </c>
      <c r="T79" t="s">
        <v>39</v>
      </c>
      <c r="U79" t="s">
        <v>159</v>
      </c>
    </row>
    <row r="80" spans="1:21" ht="18" customHeight="1">
      <c r="A80" t="s">
        <v>536</v>
      </c>
      <c r="B80" t="s">
        <v>173</v>
      </c>
      <c r="C80" t="s">
        <v>219</v>
      </c>
      <c r="D80" t="s">
        <v>73</v>
      </c>
      <c r="E80" t="s">
        <v>151</v>
      </c>
      <c r="H80" t="s">
        <v>537</v>
      </c>
      <c r="I80" t="s">
        <v>289</v>
      </c>
      <c r="J80" t="s">
        <v>538</v>
      </c>
      <c r="K80" t="s">
        <v>102</v>
      </c>
      <c r="L80" t="s">
        <v>31</v>
      </c>
      <c r="O80" t="s">
        <v>204</v>
      </c>
      <c r="Q80" t="s">
        <v>539</v>
      </c>
      <c r="S80" t="s">
        <v>38</v>
      </c>
      <c r="T80" t="s">
        <v>211</v>
      </c>
      <c r="U80" t="s">
        <v>159</v>
      </c>
    </row>
    <row r="81" spans="1:21" ht="18" customHeight="1">
      <c r="A81" t="s">
        <v>540</v>
      </c>
      <c r="B81" t="s">
        <v>541</v>
      </c>
      <c r="C81" t="s">
        <v>162</v>
      </c>
      <c r="D81" t="s">
        <v>73</v>
      </c>
      <c r="E81" t="s">
        <v>74</v>
      </c>
      <c r="H81" t="s">
        <v>542</v>
      </c>
      <c r="I81" t="s">
        <v>222</v>
      </c>
      <c r="J81" t="s">
        <v>543</v>
      </c>
      <c r="K81" t="s">
        <v>30</v>
      </c>
      <c r="L81" t="s">
        <v>49</v>
      </c>
      <c r="N81" t="s">
        <v>544</v>
      </c>
      <c r="P81" t="s">
        <v>49</v>
      </c>
      <c r="Q81" t="s">
        <v>545</v>
      </c>
      <c r="R81" t="s">
        <v>116</v>
      </c>
      <c r="S81" t="s">
        <v>117</v>
      </c>
      <c r="U81" t="s">
        <v>159</v>
      </c>
    </row>
    <row r="82" spans="1:21" ht="18" customHeight="1">
      <c r="B82" t="s">
        <v>42</v>
      </c>
      <c r="C82" t="s">
        <v>282</v>
      </c>
      <c r="D82" t="s">
        <v>73</v>
      </c>
      <c r="E82" t="s">
        <v>88</v>
      </c>
      <c r="G82" t="s">
        <v>546</v>
      </c>
      <c r="H82" t="s">
        <v>547</v>
      </c>
      <c r="I82" t="s">
        <v>101</v>
      </c>
      <c r="J82" t="s">
        <v>548</v>
      </c>
      <c r="K82" t="s">
        <v>134</v>
      </c>
      <c r="L82" t="s">
        <v>229</v>
      </c>
      <c r="M82" t="s">
        <v>549</v>
      </c>
      <c r="N82" t="s">
        <v>466</v>
      </c>
      <c r="O82" t="s">
        <v>80</v>
      </c>
      <c r="P82" t="s">
        <v>35</v>
      </c>
      <c r="Q82" t="s">
        <v>550</v>
      </c>
      <c r="R82" t="s">
        <v>116</v>
      </c>
      <c r="S82" t="s">
        <v>95</v>
      </c>
      <c r="T82" t="s">
        <v>54</v>
      </c>
      <c r="U82" t="s">
        <v>274</v>
      </c>
    </row>
    <row r="83" spans="1:21" ht="18" customHeight="1">
      <c r="B83" t="s">
        <v>119</v>
      </c>
      <c r="C83" t="s">
        <v>313</v>
      </c>
      <c r="D83" t="s">
        <v>73</v>
      </c>
      <c r="E83" t="s">
        <v>88</v>
      </c>
      <c r="G83" t="s">
        <v>551</v>
      </c>
      <c r="H83" t="s">
        <v>27</v>
      </c>
      <c r="I83" t="s">
        <v>46</v>
      </c>
      <c r="J83" t="s">
        <v>552</v>
      </c>
      <c r="K83" t="s">
        <v>144</v>
      </c>
      <c r="L83" t="s">
        <v>224</v>
      </c>
      <c r="M83" t="s">
        <v>145</v>
      </c>
      <c r="N83" t="s">
        <v>553</v>
      </c>
      <c r="O83" t="s">
        <v>238</v>
      </c>
      <c r="P83" t="s">
        <v>93</v>
      </c>
      <c r="Q83" t="s">
        <v>554</v>
      </c>
      <c r="R83" t="s">
        <v>53</v>
      </c>
      <c r="S83" t="s">
        <v>38</v>
      </c>
      <c r="T83" t="s">
        <v>39</v>
      </c>
      <c r="U83" t="s">
        <v>171</v>
      </c>
    </row>
    <row r="84" spans="1:21" ht="18" customHeight="1">
      <c r="A84" t="s">
        <v>555</v>
      </c>
      <c r="B84" t="s">
        <v>56</v>
      </c>
      <c r="C84" t="s">
        <v>475</v>
      </c>
      <c r="D84" t="s">
        <v>87</v>
      </c>
      <c r="E84" t="s">
        <v>88</v>
      </c>
      <c r="G84" t="s">
        <v>556</v>
      </c>
      <c r="H84" t="s">
        <v>557</v>
      </c>
      <c r="I84" t="s">
        <v>63</v>
      </c>
      <c r="K84" t="s">
        <v>77</v>
      </c>
      <c r="L84" t="s">
        <v>155</v>
      </c>
      <c r="M84" t="s">
        <v>179</v>
      </c>
      <c r="N84" t="s">
        <v>33</v>
      </c>
      <c r="O84" t="s">
        <v>558</v>
      </c>
      <c r="P84" t="s">
        <v>51</v>
      </c>
      <c r="Q84" t="s">
        <v>559</v>
      </c>
      <c r="R84" t="s">
        <v>560</v>
      </c>
      <c r="S84" t="s">
        <v>147</v>
      </c>
      <c r="T84" t="s">
        <v>83</v>
      </c>
      <c r="U84" t="s">
        <v>97</v>
      </c>
    </row>
    <row r="85" spans="1:21" ht="18" customHeight="1">
      <c r="B85" t="s">
        <v>56</v>
      </c>
      <c r="C85" t="s">
        <v>242</v>
      </c>
      <c r="D85" t="s">
        <v>24</v>
      </c>
      <c r="E85" t="s">
        <v>25</v>
      </c>
      <c r="I85" t="s">
        <v>76</v>
      </c>
      <c r="J85" t="s">
        <v>92</v>
      </c>
      <c r="K85" t="s">
        <v>77</v>
      </c>
      <c r="L85" t="s">
        <v>78</v>
      </c>
      <c r="M85" t="s">
        <v>145</v>
      </c>
      <c r="N85" t="s">
        <v>291</v>
      </c>
      <c r="P85" t="s">
        <v>49</v>
      </c>
      <c r="Q85" t="s">
        <v>561</v>
      </c>
      <c r="R85" t="s">
        <v>561</v>
      </c>
      <c r="S85" t="s">
        <v>68</v>
      </c>
      <c r="T85" t="s">
        <v>83</v>
      </c>
      <c r="U85" t="s">
        <v>97</v>
      </c>
    </row>
    <row r="86" spans="1:21" ht="18" customHeight="1">
      <c r="B86" t="s">
        <v>99</v>
      </c>
      <c r="C86" t="s">
        <v>475</v>
      </c>
      <c r="D86" t="s">
        <v>73</v>
      </c>
      <c r="E86" t="s">
        <v>74</v>
      </c>
      <c r="G86" t="s">
        <v>176</v>
      </c>
      <c r="H86" t="s">
        <v>562</v>
      </c>
      <c r="I86" t="s">
        <v>110</v>
      </c>
      <c r="K86" t="s">
        <v>48</v>
      </c>
      <c r="L86" t="s">
        <v>297</v>
      </c>
      <c r="M86" t="s">
        <v>563</v>
      </c>
      <c r="N86" t="s">
        <v>33</v>
      </c>
      <c r="P86" t="s">
        <v>176</v>
      </c>
      <c r="Q86" t="s">
        <v>564</v>
      </c>
      <c r="S86" t="s">
        <v>147</v>
      </c>
      <c r="T86" t="s">
        <v>39</v>
      </c>
      <c r="U86" t="s">
        <v>97</v>
      </c>
    </row>
    <row r="87" spans="1:21" ht="18" customHeight="1">
      <c r="B87" t="s">
        <v>241</v>
      </c>
      <c r="C87" t="s">
        <v>86</v>
      </c>
      <c r="D87" t="s">
        <v>24</v>
      </c>
      <c r="E87" t="s">
        <v>25</v>
      </c>
      <c r="G87" t="s">
        <v>565</v>
      </c>
      <c r="H87" t="s">
        <v>566</v>
      </c>
      <c r="I87" t="s">
        <v>110</v>
      </c>
      <c r="J87" t="s">
        <v>143</v>
      </c>
      <c r="K87" t="s">
        <v>77</v>
      </c>
      <c r="L87" t="s">
        <v>224</v>
      </c>
      <c r="M87" t="s">
        <v>145</v>
      </c>
      <c r="N87" t="s">
        <v>33</v>
      </c>
      <c r="O87" t="s">
        <v>204</v>
      </c>
      <c r="P87" t="s">
        <v>35</v>
      </c>
      <c r="Q87" t="s">
        <v>567</v>
      </c>
      <c r="R87" t="s">
        <v>567</v>
      </c>
      <c r="S87" t="s">
        <v>117</v>
      </c>
      <c r="T87" t="s">
        <v>148</v>
      </c>
      <c r="U87" t="s">
        <v>159</v>
      </c>
    </row>
    <row r="88" spans="1:21" ht="18" customHeight="1">
      <c r="B88" t="s">
        <v>541</v>
      </c>
      <c r="C88" t="s">
        <v>313</v>
      </c>
      <c r="D88" t="s">
        <v>24</v>
      </c>
      <c r="E88" t="s">
        <v>248</v>
      </c>
      <c r="H88" t="s">
        <v>568</v>
      </c>
      <c r="I88" t="s">
        <v>132</v>
      </c>
      <c r="J88" t="s">
        <v>569</v>
      </c>
      <c r="K88" t="s">
        <v>30</v>
      </c>
      <c r="L88" t="s">
        <v>49</v>
      </c>
      <c r="M88" t="s">
        <v>145</v>
      </c>
      <c r="O88" t="s">
        <v>238</v>
      </c>
      <c r="Q88" t="s">
        <v>570</v>
      </c>
      <c r="R88" t="s">
        <v>570</v>
      </c>
      <c r="S88" t="s">
        <v>147</v>
      </c>
      <c r="T88" t="s">
        <v>39</v>
      </c>
      <c r="U88" t="s">
        <v>274</v>
      </c>
    </row>
    <row r="89" spans="1:21" ht="18" customHeight="1">
      <c r="A89" t="s">
        <v>571</v>
      </c>
      <c r="B89" t="s">
        <v>200</v>
      </c>
      <c r="C89" t="s">
        <v>130</v>
      </c>
      <c r="D89" t="s">
        <v>24</v>
      </c>
      <c r="E89" t="s">
        <v>88</v>
      </c>
      <c r="G89" t="s">
        <v>61</v>
      </c>
      <c r="J89" t="s">
        <v>92</v>
      </c>
      <c r="K89" t="s">
        <v>48</v>
      </c>
      <c r="L89" t="s">
        <v>124</v>
      </c>
      <c r="N89" t="s">
        <v>336</v>
      </c>
      <c r="O89" t="s">
        <v>572</v>
      </c>
      <c r="P89" t="s">
        <v>93</v>
      </c>
      <c r="Q89" t="s">
        <v>573</v>
      </c>
      <c r="R89" t="s">
        <v>574</v>
      </c>
      <c r="S89" t="s">
        <v>137</v>
      </c>
      <c r="T89" t="s">
        <v>211</v>
      </c>
    </row>
    <row r="90" spans="1:21" ht="18" customHeight="1">
      <c r="A90" t="s">
        <v>575</v>
      </c>
      <c r="B90" t="s">
        <v>119</v>
      </c>
      <c r="C90" t="s">
        <v>189</v>
      </c>
      <c r="E90" t="s">
        <v>59</v>
      </c>
      <c r="G90" t="s">
        <v>576</v>
      </c>
      <c r="J90" t="s">
        <v>577</v>
      </c>
      <c r="K90" t="s">
        <v>48</v>
      </c>
      <c r="L90" t="s">
        <v>124</v>
      </c>
      <c r="M90" t="s">
        <v>578</v>
      </c>
      <c r="N90" t="s">
        <v>579</v>
      </c>
      <c r="O90" t="s">
        <v>204</v>
      </c>
      <c r="P90" t="s">
        <v>81</v>
      </c>
      <c r="Q90" t="s">
        <v>580</v>
      </c>
      <c r="R90" t="s">
        <v>116</v>
      </c>
      <c r="S90" t="s">
        <v>117</v>
      </c>
      <c r="T90" t="s">
        <v>39</v>
      </c>
      <c r="U90" t="s">
        <v>40</v>
      </c>
    </row>
    <row r="91" spans="1:21" ht="18" customHeight="1">
      <c r="A91" t="s">
        <v>581</v>
      </c>
      <c r="B91" t="s">
        <v>276</v>
      </c>
      <c r="C91" t="s">
        <v>219</v>
      </c>
      <c r="D91" t="s">
        <v>73</v>
      </c>
      <c r="E91" t="s">
        <v>248</v>
      </c>
      <c r="G91" t="s">
        <v>582</v>
      </c>
      <c r="I91" t="s">
        <v>76</v>
      </c>
      <c r="J91" t="s">
        <v>583</v>
      </c>
      <c r="K91" t="s">
        <v>48</v>
      </c>
      <c r="M91" t="s">
        <v>584</v>
      </c>
      <c r="P91" t="s">
        <v>35</v>
      </c>
      <c r="Q91" t="s">
        <v>585</v>
      </c>
      <c r="R91" t="s">
        <v>586</v>
      </c>
      <c r="S91" t="s">
        <v>147</v>
      </c>
      <c r="T91" t="s">
        <v>96</v>
      </c>
      <c r="U91" t="s">
        <v>159</v>
      </c>
    </row>
    <row r="92" spans="1:21" ht="18" customHeight="1">
      <c r="A92" t="s">
        <v>587</v>
      </c>
      <c r="B92" t="s">
        <v>390</v>
      </c>
      <c r="C92" t="s">
        <v>23</v>
      </c>
      <c r="D92" t="s">
        <v>73</v>
      </c>
      <c r="G92" t="s">
        <v>588</v>
      </c>
      <c r="H92" t="s">
        <v>589</v>
      </c>
      <c r="I92" t="s">
        <v>76</v>
      </c>
      <c r="J92" t="s">
        <v>92</v>
      </c>
      <c r="K92" t="s">
        <v>134</v>
      </c>
      <c r="L92" t="s">
        <v>412</v>
      </c>
      <c r="M92" t="s">
        <v>590</v>
      </c>
      <c r="N92" t="s">
        <v>591</v>
      </c>
      <c r="O92" t="s">
        <v>592</v>
      </c>
      <c r="P92" t="s">
        <v>176</v>
      </c>
      <c r="Q92" t="s">
        <v>593</v>
      </c>
      <c r="R92" t="s">
        <v>593</v>
      </c>
      <c r="S92" t="s">
        <v>147</v>
      </c>
      <c r="T92" t="s">
        <v>148</v>
      </c>
      <c r="U92" t="s">
        <v>40</v>
      </c>
    </row>
    <row r="93" spans="1:21" ht="18" customHeight="1">
      <c r="B93" t="s">
        <v>356</v>
      </c>
      <c r="C93" t="s">
        <v>260</v>
      </c>
      <c r="D93" t="s">
        <v>73</v>
      </c>
      <c r="E93" t="s">
        <v>183</v>
      </c>
      <c r="G93" t="s">
        <v>594</v>
      </c>
      <c r="H93" t="s">
        <v>595</v>
      </c>
      <c r="I93" t="s">
        <v>110</v>
      </c>
      <c r="J93" t="s">
        <v>596</v>
      </c>
      <c r="K93" t="s">
        <v>30</v>
      </c>
      <c r="L93" t="s">
        <v>103</v>
      </c>
      <c r="M93" t="s">
        <v>597</v>
      </c>
      <c r="N93" t="s">
        <v>598</v>
      </c>
      <c r="O93" t="s">
        <v>204</v>
      </c>
      <c r="P93" t="s">
        <v>114</v>
      </c>
      <c r="Q93" t="s">
        <v>599</v>
      </c>
      <c r="S93" t="s">
        <v>137</v>
      </c>
      <c r="T93" t="s">
        <v>96</v>
      </c>
      <c r="U93" t="s">
        <v>97</v>
      </c>
    </row>
    <row r="94" spans="1:21" ht="18" customHeight="1">
      <c r="A94" t="s">
        <v>600</v>
      </c>
      <c r="B94" t="s">
        <v>109</v>
      </c>
      <c r="C94" t="s">
        <v>260</v>
      </c>
      <c r="D94" t="s">
        <v>87</v>
      </c>
      <c r="E94" t="s">
        <v>163</v>
      </c>
      <c r="G94" t="s">
        <v>176</v>
      </c>
      <c r="H94" t="s">
        <v>27</v>
      </c>
      <c r="I94" t="s">
        <v>110</v>
      </c>
      <c r="J94" t="s">
        <v>92</v>
      </c>
      <c r="K94" t="s">
        <v>30</v>
      </c>
      <c r="L94" t="s">
        <v>65</v>
      </c>
      <c r="M94" t="s">
        <v>145</v>
      </c>
      <c r="N94" t="s">
        <v>33</v>
      </c>
      <c r="O94" t="s">
        <v>80</v>
      </c>
      <c r="P94" t="s">
        <v>93</v>
      </c>
      <c r="Q94" t="s">
        <v>601</v>
      </c>
      <c r="R94" t="s">
        <v>116</v>
      </c>
      <c r="S94" t="s">
        <v>147</v>
      </c>
      <c r="T94" t="s">
        <v>69</v>
      </c>
      <c r="U94" t="s">
        <v>40</v>
      </c>
    </row>
    <row r="95" spans="1:21" ht="18" customHeight="1">
      <c r="A95" t="s">
        <v>602</v>
      </c>
      <c r="B95" t="s">
        <v>603</v>
      </c>
      <c r="C95" t="s">
        <v>219</v>
      </c>
      <c r="D95" t="s">
        <v>87</v>
      </c>
      <c r="E95" t="s">
        <v>25</v>
      </c>
      <c r="G95" t="s">
        <v>604</v>
      </c>
      <c r="H95" t="s">
        <v>605</v>
      </c>
      <c r="I95" t="s">
        <v>110</v>
      </c>
      <c r="J95" t="s">
        <v>606</v>
      </c>
      <c r="K95" t="s">
        <v>77</v>
      </c>
      <c r="M95" t="s">
        <v>607</v>
      </c>
      <c r="N95" t="s">
        <v>608</v>
      </c>
      <c r="O95" t="s">
        <v>238</v>
      </c>
      <c r="P95" t="s">
        <v>81</v>
      </c>
      <c r="Q95" t="s">
        <v>609</v>
      </c>
      <c r="R95" t="s">
        <v>37</v>
      </c>
      <c r="U95" t="s">
        <v>171</v>
      </c>
    </row>
    <row r="96" spans="1:21" ht="18" customHeight="1">
      <c r="A96" t="s">
        <v>610</v>
      </c>
      <c r="B96" t="s">
        <v>71</v>
      </c>
      <c r="C96" t="s">
        <v>260</v>
      </c>
      <c r="D96" t="s">
        <v>73</v>
      </c>
      <c r="E96" t="s">
        <v>183</v>
      </c>
      <c r="G96" t="s">
        <v>611</v>
      </c>
      <c r="H96" t="s">
        <v>612</v>
      </c>
      <c r="I96" t="s">
        <v>222</v>
      </c>
      <c r="K96" t="s">
        <v>48</v>
      </c>
      <c r="L96" t="s">
        <v>155</v>
      </c>
      <c r="M96" t="s">
        <v>613</v>
      </c>
      <c r="N96" t="s">
        <v>33</v>
      </c>
      <c r="O96" t="s">
        <v>80</v>
      </c>
      <c r="P96" t="s">
        <v>176</v>
      </c>
      <c r="Q96" t="s">
        <v>614</v>
      </c>
      <c r="R96" t="s">
        <v>53</v>
      </c>
      <c r="S96" t="s">
        <v>117</v>
      </c>
      <c r="T96" t="s">
        <v>54</v>
      </c>
      <c r="U96" t="s">
        <v>159</v>
      </c>
    </row>
    <row r="97" spans="1:21" ht="18" customHeight="1">
      <c r="A97" t="s">
        <v>615</v>
      </c>
      <c r="B97" t="s">
        <v>323</v>
      </c>
      <c r="C97" t="s">
        <v>120</v>
      </c>
      <c r="E97" t="s">
        <v>88</v>
      </c>
      <c r="G97" t="s">
        <v>616</v>
      </c>
      <c r="H97" t="s">
        <v>27</v>
      </c>
      <c r="I97" t="s">
        <v>132</v>
      </c>
      <c r="J97" t="s">
        <v>617</v>
      </c>
      <c r="K97" t="s">
        <v>134</v>
      </c>
      <c r="L97" t="s">
        <v>195</v>
      </c>
      <c r="N97" t="s">
        <v>618</v>
      </c>
      <c r="O97" t="s">
        <v>80</v>
      </c>
      <c r="P97" t="s">
        <v>49</v>
      </c>
      <c r="Q97" t="s">
        <v>619</v>
      </c>
      <c r="S97" t="s">
        <v>68</v>
      </c>
      <c r="T97" t="s">
        <v>39</v>
      </c>
      <c r="U97" t="s">
        <v>274</v>
      </c>
    </row>
    <row r="98" spans="1:21" ht="18" customHeight="1">
      <c r="A98" t="s">
        <v>620</v>
      </c>
      <c r="B98" t="s">
        <v>541</v>
      </c>
      <c r="C98" t="s">
        <v>174</v>
      </c>
      <c r="D98" t="s">
        <v>73</v>
      </c>
      <c r="E98" t="s">
        <v>59</v>
      </c>
      <c r="G98" t="s">
        <v>61</v>
      </c>
      <c r="I98" t="s">
        <v>28</v>
      </c>
      <c r="K98" t="s">
        <v>296</v>
      </c>
      <c r="L98" t="s">
        <v>78</v>
      </c>
      <c r="M98" t="s">
        <v>621</v>
      </c>
      <c r="N98" t="s">
        <v>622</v>
      </c>
      <c r="O98" t="s">
        <v>238</v>
      </c>
      <c r="P98" t="s">
        <v>114</v>
      </c>
      <c r="Q98" t="s">
        <v>623</v>
      </c>
      <c r="R98" t="s">
        <v>624</v>
      </c>
      <c r="S98" t="s">
        <v>117</v>
      </c>
      <c r="T98" t="s">
        <v>39</v>
      </c>
    </row>
    <row r="99" spans="1:21" ht="18" customHeight="1">
      <c r="B99" t="s">
        <v>42</v>
      </c>
      <c r="C99" t="s">
        <v>475</v>
      </c>
      <c r="D99" t="s">
        <v>24</v>
      </c>
      <c r="E99" t="s">
        <v>248</v>
      </c>
      <c r="G99" t="s">
        <v>625</v>
      </c>
      <c r="H99" t="s">
        <v>626</v>
      </c>
      <c r="I99" t="s">
        <v>222</v>
      </c>
      <c r="J99" t="s">
        <v>627</v>
      </c>
      <c r="K99" t="s">
        <v>111</v>
      </c>
      <c r="L99" t="s">
        <v>155</v>
      </c>
      <c r="M99" t="s">
        <v>628</v>
      </c>
      <c r="O99" t="s">
        <v>629</v>
      </c>
      <c r="P99" t="s">
        <v>93</v>
      </c>
      <c r="Q99" t="s">
        <v>630</v>
      </c>
      <c r="R99" t="s">
        <v>630</v>
      </c>
      <c r="S99" t="s">
        <v>38</v>
      </c>
      <c r="T99" t="s">
        <v>39</v>
      </c>
      <c r="U99" t="s">
        <v>40</v>
      </c>
    </row>
    <row r="100" spans="1:21" ht="18" customHeight="1">
      <c r="A100" t="s">
        <v>631</v>
      </c>
      <c r="B100" t="s">
        <v>218</v>
      </c>
      <c r="C100" t="s">
        <v>140</v>
      </c>
      <c r="D100" t="s">
        <v>73</v>
      </c>
      <c r="E100" t="s">
        <v>151</v>
      </c>
      <c r="G100" t="s">
        <v>632</v>
      </c>
      <c r="H100" t="s">
        <v>27</v>
      </c>
      <c r="K100" t="s">
        <v>30</v>
      </c>
      <c r="L100" t="s">
        <v>78</v>
      </c>
      <c r="M100" t="s">
        <v>145</v>
      </c>
      <c r="O100" t="s">
        <v>204</v>
      </c>
      <c r="Q100" t="s">
        <v>156</v>
      </c>
      <c r="R100" t="s">
        <v>633</v>
      </c>
      <c r="S100" t="s">
        <v>68</v>
      </c>
      <c r="T100" t="s">
        <v>148</v>
      </c>
      <c r="U100" t="s">
        <v>97</v>
      </c>
    </row>
    <row r="101" spans="1:21" ht="18" customHeight="1">
      <c r="A101" t="s">
        <v>634</v>
      </c>
      <c r="B101" t="s">
        <v>42</v>
      </c>
      <c r="C101" t="s">
        <v>57</v>
      </c>
      <c r="G101" t="s">
        <v>635</v>
      </c>
      <c r="I101" t="s">
        <v>63</v>
      </c>
      <c r="J101" t="s">
        <v>92</v>
      </c>
      <c r="K101" t="s">
        <v>102</v>
      </c>
      <c r="L101" t="s">
        <v>224</v>
      </c>
      <c r="O101" t="s">
        <v>80</v>
      </c>
      <c r="P101" t="s">
        <v>35</v>
      </c>
      <c r="Q101" t="s">
        <v>636</v>
      </c>
      <c r="R101" t="s">
        <v>37</v>
      </c>
      <c r="S101" t="s">
        <v>147</v>
      </c>
      <c r="T101" t="s">
        <v>54</v>
      </c>
    </row>
    <row r="102" spans="1:21" ht="18" customHeight="1">
      <c r="A102" t="s">
        <v>637</v>
      </c>
      <c r="B102" t="s">
        <v>56</v>
      </c>
      <c r="C102" t="s">
        <v>162</v>
      </c>
      <c r="D102" t="s">
        <v>87</v>
      </c>
      <c r="E102" t="s">
        <v>234</v>
      </c>
      <c r="G102" t="s">
        <v>638</v>
      </c>
      <c r="H102" t="s">
        <v>639</v>
      </c>
      <c r="I102" t="s">
        <v>91</v>
      </c>
      <c r="J102" t="s">
        <v>640</v>
      </c>
      <c r="K102" t="s">
        <v>144</v>
      </c>
      <c r="L102" t="s">
        <v>412</v>
      </c>
      <c r="M102" t="s">
        <v>145</v>
      </c>
      <c r="N102" t="s">
        <v>591</v>
      </c>
      <c r="P102" t="s">
        <v>35</v>
      </c>
      <c r="Q102" t="s">
        <v>641</v>
      </c>
      <c r="R102" t="s">
        <v>116</v>
      </c>
      <c r="S102" t="s">
        <v>68</v>
      </c>
      <c r="T102" t="s">
        <v>148</v>
      </c>
      <c r="U102" t="s">
        <v>274</v>
      </c>
    </row>
    <row r="103" spans="1:21" ht="18" customHeight="1">
      <c r="A103" t="s">
        <v>642</v>
      </c>
      <c r="B103" t="s">
        <v>233</v>
      </c>
      <c r="C103" t="s">
        <v>394</v>
      </c>
      <c r="H103" t="s">
        <v>643</v>
      </c>
      <c r="J103" t="s">
        <v>92</v>
      </c>
      <c r="K103" t="s">
        <v>102</v>
      </c>
      <c r="L103" t="s">
        <v>31</v>
      </c>
      <c r="M103" t="s">
        <v>644</v>
      </c>
      <c r="O103" t="s">
        <v>238</v>
      </c>
      <c r="P103" t="s">
        <v>51</v>
      </c>
      <c r="Q103" t="s">
        <v>645</v>
      </c>
      <c r="R103" t="s">
        <v>53</v>
      </c>
      <c r="S103" t="s">
        <v>95</v>
      </c>
      <c r="T103" t="s">
        <v>96</v>
      </c>
      <c r="U103" t="s">
        <v>159</v>
      </c>
    </row>
    <row r="104" spans="1:21" ht="18" customHeight="1">
      <c r="A104" t="s">
        <v>646</v>
      </c>
      <c r="B104" t="s">
        <v>200</v>
      </c>
      <c r="C104" t="s">
        <v>461</v>
      </c>
      <c r="E104" t="s">
        <v>163</v>
      </c>
      <c r="G104" t="s">
        <v>647</v>
      </c>
      <c r="I104" t="s">
        <v>289</v>
      </c>
      <c r="J104" t="s">
        <v>648</v>
      </c>
      <c r="K104" t="s">
        <v>144</v>
      </c>
      <c r="L104" t="s">
        <v>229</v>
      </c>
      <c r="M104" t="s">
        <v>649</v>
      </c>
      <c r="O104" t="s">
        <v>650</v>
      </c>
      <c r="P104" t="s">
        <v>35</v>
      </c>
      <c r="Q104" t="s">
        <v>651</v>
      </c>
      <c r="S104" t="s">
        <v>147</v>
      </c>
      <c r="T104" t="s">
        <v>69</v>
      </c>
      <c r="U104" t="s">
        <v>159</v>
      </c>
    </row>
    <row r="105" spans="1:21" ht="18" customHeight="1">
      <c r="A105" t="s">
        <v>652</v>
      </c>
      <c r="B105" t="s">
        <v>241</v>
      </c>
      <c r="C105" t="s">
        <v>23</v>
      </c>
      <c r="D105" t="s">
        <v>653</v>
      </c>
      <c r="E105" t="s">
        <v>88</v>
      </c>
      <c r="F105" t="s">
        <v>654</v>
      </c>
      <c r="H105" t="s">
        <v>655</v>
      </c>
      <c r="I105" t="s">
        <v>28</v>
      </c>
      <c r="K105" t="s">
        <v>48</v>
      </c>
      <c r="L105" t="s">
        <v>65</v>
      </c>
      <c r="M105" t="s">
        <v>656</v>
      </c>
      <c r="N105" t="s">
        <v>657</v>
      </c>
      <c r="O105" t="s">
        <v>658</v>
      </c>
      <c r="P105" t="s">
        <v>81</v>
      </c>
      <c r="Q105" t="s">
        <v>659</v>
      </c>
      <c r="R105" t="s">
        <v>53</v>
      </c>
      <c r="T105" t="s">
        <v>96</v>
      </c>
      <c r="U105" t="s">
        <v>97</v>
      </c>
    </row>
    <row r="106" spans="1:21" ht="18" customHeight="1">
      <c r="A106" t="s">
        <v>660</v>
      </c>
      <c r="B106" t="s">
        <v>661</v>
      </c>
      <c r="C106" t="s">
        <v>219</v>
      </c>
      <c r="D106" t="s">
        <v>662</v>
      </c>
      <c r="E106" t="s">
        <v>248</v>
      </c>
      <c r="G106" t="s">
        <v>663</v>
      </c>
      <c r="H106" t="s">
        <v>664</v>
      </c>
      <c r="J106" t="s">
        <v>92</v>
      </c>
      <c r="K106" t="s">
        <v>30</v>
      </c>
      <c r="L106" t="s">
        <v>103</v>
      </c>
      <c r="M106" t="s">
        <v>665</v>
      </c>
      <c r="N106" t="s">
        <v>666</v>
      </c>
      <c r="O106" t="s">
        <v>667</v>
      </c>
      <c r="P106" t="s">
        <v>176</v>
      </c>
      <c r="Q106" t="s">
        <v>668</v>
      </c>
      <c r="R106" t="s">
        <v>668</v>
      </c>
      <c r="S106" t="s">
        <v>38</v>
      </c>
      <c r="U106" t="s">
        <v>40</v>
      </c>
    </row>
    <row r="107" spans="1:21" ht="18" customHeight="1">
      <c r="A107" t="s">
        <v>669</v>
      </c>
      <c r="B107" t="s">
        <v>424</v>
      </c>
      <c r="C107" t="s">
        <v>242</v>
      </c>
      <c r="D107" t="s">
        <v>24</v>
      </c>
      <c r="E107" t="s">
        <v>59</v>
      </c>
      <c r="G107" t="s">
        <v>670</v>
      </c>
      <c r="H107" t="s">
        <v>27</v>
      </c>
      <c r="I107" t="s">
        <v>101</v>
      </c>
      <c r="J107" t="s">
        <v>671</v>
      </c>
      <c r="K107" t="s">
        <v>111</v>
      </c>
      <c r="M107" t="s">
        <v>672</v>
      </c>
      <c r="N107" t="s">
        <v>673</v>
      </c>
      <c r="O107" t="s">
        <v>204</v>
      </c>
      <c r="Q107" t="s">
        <v>674</v>
      </c>
      <c r="R107" t="s">
        <v>53</v>
      </c>
      <c r="T107" t="s">
        <v>211</v>
      </c>
      <c r="U107" t="s">
        <v>40</v>
      </c>
    </row>
    <row r="108" spans="1:21" ht="18" customHeight="1">
      <c r="A108" t="s">
        <v>675</v>
      </c>
      <c r="B108" t="s">
        <v>541</v>
      </c>
      <c r="C108" t="s">
        <v>162</v>
      </c>
      <c r="D108" t="s">
        <v>24</v>
      </c>
      <c r="E108" t="s">
        <v>88</v>
      </c>
      <c r="G108" t="s">
        <v>676</v>
      </c>
      <c r="H108" t="s">
        <v>27</v>
      </c>
      <c r="I108" t="s">
        <v>91</v>
      </c>
      <c r="J108" t="s">
        <v>677</v>
      </c>
      <c r="K108" t="s">
        <v>111</v>
      </c>
      <c r="L108" t="s">
        <v>195</v>
      </c>
      <c r="M108" t="s">
        <v>179</v>
      </c>
      <c r="O108" t="s">
        <v>80</v>
      </c>
      <c r="Q108" t="s">
        <v>678</v>
      </c>
      <c r="R108" t="s">
        <v>679</v>
      </c>
      <c r="S108" t="s">
        <v>117</v>
      </c>
      <c r="T108" t="s">
        <v>83</v>
      </c>
      <c r="U108" t="s">
        <v>171</v>
      </c>
    </row>
    <row r="109" spans="1:21" ht="18" customHeight="1">
      <c r="B109" t="s">
        <v>85</v>
      </c>
      <c r="C109" t="s">
        <v>282</v>
      </c>
      <c r="D109" t="s">
        <v>87</v>
      </c>
      <c r="E109" t="s">
        <v>248</v>
      </c>
      <c r="H109" t="s">
        <v>680</v>
      </c>
      <c r="I109" t="s">
        <v>132</v>
      </c>
      <c r="J109" t="s">
        <v>681</v>
      </c>
      <c r="K109" t="s">
        <v>111</v>
      </c>
      <c r="L109" t="s">
        <v>124</v>
      </c>
      <c r="M109" t="s">
        <v>179</v>
      </c>
      <c r="N109" t="s">
        <v>168</v>
      </c>
      <c r="O109" t="s">
        <v>80</v>
      </c>
      <c r="Q109" t="s">
        <v>682</v>
      </c>
      <c r="R109" t="s">
        <v>53</v>
      </c>
      <c r="S109" t="s">
        <v>38</v>
      </c>
      <c r="T109" t="s">
        <v>54</v>
      </c>
      <c r="U109" t="s">
        <v>274</v>
      </c>
    </row>
    <row r="110" spans="1:21" ht="18" customHeight="1">
      <c r="A110" t="s">
        <v>683</v>
      </c>
      <c r="B110" t="s">
        <v>129</v>
      </c>
      <c r="C110" t="s">
        <v>357</v>
      </c>
      <c r="D110" t="s">
        <v>24</v>
      </c>
      <c r="G110" t="s">
        <v>61</v>
      </c>
      <c r="H110" t="s">
        <v>684</v>
      </c>
      <c r="I110" t="s">
        <v>63</v>
      </c>
      <c r="J110" t="s">
        <v>685</v>
      </c>
      <c r="K110" t="s">
        <v>102</v>
      </c>
      <c r="M110" t="s">
        <v>686</v>
      </c>
      <c r="O110" t="s">
        <v>238</v>
      </c>
      <c r="P110" t="s">
        <v>81</v>
      </c>
      <c r="Q110" t="s">
        <v>687</v>
      </c>
      <c r="R110" t="s">
        <v>53</v>
      </c>
      <c r="S110" t="s">
        <v>137</v>
      </c>
      <c r="T110" t="s">
        <v>39</v>
      </c>
      <c r="U110" t="s">
        <v>159</v>
      </c>
    </row>
    <row r="111" spans="1:21" ht="18" customHeight="1">
      <c r="A111" t="s">
        <v>688</v>
      </c>
      <c r="B111" t="s">
        <v>452</v>
      </c>
      <c r="C111" t="s">
        <v>374</v>
      </c>
      <c r="D111" t="s">
        <v>73</v>
      </c>
      <c r="G111" t="s">
        <v>689</v>
      </c>
      <c r="H111" t="s">
        <v>690</v>
      </c>
      <c r="I111" t="s">
        <v>110</v>
      </c>
      <c r="J111" t="s">
        <v>691</v>
      </c>
      <c r="K111" t="s">
        <v>48</v>
      </c>
      <c r="L111" t="s">
        <v>297</v>
      </c>
      <c r="M111" t="s">
        <v>179</v>
      </c>
      <c r="N111" t="s">
        <v>392</v>
      </c>
      <c r="O111" t="s">
        <v>238</v>
      </c>
      <c r="P111" t="s">
        <v>51</v>
      </c>
      <c r="Q111" t="s">
        <v>692</v>
      </c>
      <c r="R111" t="s">
        <v>53</v>
      </c>
      <c r="S111" t="s">
        <v>117</v>
      </c>
      <c r="T111" t="s">
        <v>83</v>
      </c>
      <c r="U111" t="s">
        <v>97</v>
      </c>
    </row>
    <row r="112" spans="1:21" ht="18" customHeight="1">
      <c r="A112" t="s">
        <v>693</v>
      </c>
      <c r="B112" t="s">
        <v>323</v>
      </c>
      <c r="C112" t="s">
        <v>374</v>
      </c>
      <c r="D112" t="s">
        <v>24</v>
      </c>
      <c r="E112" t="s">
        <v>74</v>
      </c>
      <c r="G112" t="s">
        <v>694</v>
      </c>
      <c r="H112" t="s">
        <v>695</v>
      </c>
      <c r="I112" t="s">
        <v>76</v>
      </c>
      <c r="J112" t="s">
        <v>348</v>
      </c>
      <c r="K112" t="s">
        <v>111</v>
      </c>
      <c r="M112" t="s">
        <v>145</v>
      </c>
      <c r="N112" t="s">
        <v>392</v>
      </c>
      <c r="O112" t="s">
        <v>204</v>
      </c>
      <c r="P112" t="s">
        <v>51</v>
      </c>
      <c r="Q112" t="s">
        <v>696</v>
      </c>
      <c r="R112" t="s">
        <v>116</v>
      </c>
      <c r="S112" t="s">
        <v>137</v>
      </c>
      <c r="T112" t="s">
        <v>211</v>
      </c>
      <c r="U112" t="s">
        <v>171</v>
      </c>
    </row>
    <row r="113" spans="1:21" ht="18" customHeight="1">
      <c r="A113" t="s">
        <v>697</v>
      </c>
      <c r="B113" t="s">
        <v>452</v>
      </c>
      <c r="C113" t="s">
        <v>100</v>
      </c>
      <c r="D113" t="s">
        <v>87</v>
      </c>
      <c r="E113" t="s">
        <v>234</v>
      </c>
      <c r="H113" t="s">
        <v>698</v>
      </c>
      <c r="I113" t="s">
        <v>132</v>
      </c>
      <c r="J113" t="s">
        <v>699</v>
      </c>
      <c r="K113" t="s">
        <v>111</v>
      </c>
      <c r="L113" t="s">
        <v>49</v>
      </c>
      <c r="N113" t="s">
        <v>33</v>
      </c>
      <c r="O113" t="s">
        <v>204</v>
      </c>
      <c r="P113" t="s">
        <v>51</v>
      </c>
      <c r="Q113" t="s">
        <v>700</v>
      </c>
      <c r="R113" t="s">
        <v>700</v>
      </c>
      <c r="T113" t="s">
        <v>148</v>
      </c>
      <c r="U113" t="s">
        <v>40</v>
      </c>
    </row>
    <row r="114" spans="1:21" ht="18" customHeight="1">
      <c r="A114" t="s">
        <v>701</v>
      </c>
      <c r="B114" t="s">
        <v>22</v>
      </c>
      <c r="C114" t="s">
        <v>242</v>
      </c>
      <c r="D114" t="s">
        <v>24</v>
      </c>
      <c r="E114" t="s">
        <v>163</v>
      </c>
      <c r="G114" t="s">
        <v>702</v>
      </c>
      <c r="H114" t="s">
        <v>703</v>
      </c>
      <c r="K114" t="s">
        <v>134</v>
      </c>
      <c r="L114" t="s">
        <v>412</v>
      </c>
      <c r="M114" t="s">
        <v>704</v>
      </c>
      <c r="O114" t="s">
        <v>204</v>
      </c>
      <c r="P114" t="s">
        <v>51</v>
      </c>
      <c r="Q114" t="s">
        <v>705</v>
      </c>
      <c r="R114" t="s">
        <v>37</v>
      </c>
      <c r="S114" t="s">
        <v>117</v>
      </c>
      <c r="T114" t="s">
        <v>83</v>
      </c>
      <c r="U114" t="s">
        <v>40</v>
      </c>
    </row>
    <row r="115" spans="1:21" ht="18" customHeight="1">
      <c r="B115" t="s">
        <v>259</v>
      </c>
      <c r="C115" t="s">
        <v>260</v>
      </c>
      <c r="D115" t="s">
        <v>24</v>
      </c>
      <c r="G115" t="s">
        <v>176</v>
      </c>
      <c r="H115" t="s">
        <v>706</v>
      </c>
      <c r="I115" t="s">
        <v>28</v>
      </c>
      <c r="K115" t="s">
        <v>77</v>
      </c>
      <c r="L115" t="s">
        <v>155</v>
      </c>
      <c r="M115" t="s">
        <v>179</v>
      </c>
      <c r="N115" t="s">
        <v>707</v>
      </c>
      <c r="P115" t="s">
        <v>81</v>
      </c>
      <c r="Q115" t="s">
        <v>708</v>
      </c>
      <c r="R115" t="s">
        <v>709</v>
      </c>
      <c r="S115" t="s">
        <v>38</v>
      </c>
      <c r="T115" t="s">
        <v>54</v>
      </c>
    </row>
    <row r="116" spans="1:21" ht="18" customHeight="1">
      <c r="A116" t="s">
        <v>710</v>
      </c>
      <c r="B116" t="s">
        <v>390</v>
      </c>
      <c r="C116" t="s">
        <v>86</v>
      </c>
      <c r="D116" t="s">
        <v>87</v>
      </c>
      <c r="E116" t="s">
        <v>248</v>
      </c>
      <c r="G116" t="s">
        <v>176</v>
      </c>
      <c r="H116" t="s">
        <v>27</v>
      </c>
      <c r="I116" t="s">
        <v>91</v>
      </c>
      <c r="J116" t="s">
        <v>711</v>
      </c>
      <c r="K116" t="s">
        <v>111</v>
      </c>
      <c r="L116" t="s">
        <v>195</v>
      </c>
      <c r="M116" t="s">
        <v>477</v>
      </c>
      <c r="O116" t="s">
        <v>80</v>
      </c>
      <c r="P116" t="s">
        <v>114</v>
      </c>
      <c r="Q116" t="s">
        <v>712</v>
      </c>
      <c r="R116" t="s">
        <v>53</v>
      </c>
      <c r="S116" t="s">
        <v>117</v>
      </c>
      <c r="T116" t="s">
        <v>148</v>
      </c>
      <c r="U116" t="s">
        <v>171</v>
      </c>
    </row>
    <row r="117" spans="1:21" ht="18" customHeight="1">
      <c r="B117" t="s">
        <v>452</v>
      </c>
      <c r="C117" t="s">
        <v>461</v>
      </c>
      <c r="D117" t="s">
        <v>87</v>
      </c>
      <c r="E117" t="s">
        <v>183</v>
      </c>
      <c r="G117" t="s">
        <v>176</v>
      </c>
      <c r="H117" t="s">
        <v>713</v>
      </c>
      <c r="I117" t="s">
        <v>101</v>
      </c>
      <c r="K117" t="s">
        <v>144</v>
      </c>
      <c r="L117" t="s">
        <v>49</v>
      </c>
      <c r="M117" t="s">
        <v>714</v>
      </c>
      <c r="N117" t="s">
        <v>378</v>
      </c>
      <c r="O117" t="s">
        <v>80</v>
      </c>
      <c r="P117" t="s">
        <v>93</v>
      </c>
      <c r="Q117" t="s">
        <v>715</v>
      </c>
      <c r="R117" t="s">
        <v>716</v>
      </c>
      <c r="S117" t="s">
        <v>147</v>
      </c>
      <c r="T117" t="s">
        <v>148</v>
      </c>
      <c r="U117" t="s">
        <v>97</v>
      </c>
    </row>
    <row r="118" spans="1:21" ht="18" customHeight="1">
      <c r="A118" t="s">
        <v>717</v>
      </c>
      <c r="B118" t="s">
        <v>212</v>
      </c>
      <c r="C118" t="s">
        <v>23</v>
      </c>
      <c r="D118" t="s">
        <v>73</v>
      </c>
      <c r="E118" t="s">
        <v>151</v>
      </c>
      <c r="G118" t="s">
        <v>718</v>
      </c>
      <c r="H118" t="s">
        <v>719</v>
      </c>
      <c r="I118" t="s">
        <v>132</v>
      </c>
      <c r="K118" t="s">
        <v>296</v>
      </c>
      <c r="L118" t="s">
        <v>224</v>
      </c>
      <c r="M118" t="s">
        <v>145</v>
      </c>
      <c r="N118" t="s">
        <v>720</v>
      </c>
      <c r="O118" t="s">
        <v>721</v>
      </c>
      <c r="P118" t="s">
        <v>114</v>
      </c>
      <c r="Q118" t="s">
        <v>722</v>
      </c>
      <c r="R118" t="s">
        <v>53</v>
      </c>
      <c r="S118" t="s">
        <v>137</v>
      </c>
      <c r="T118" t="s">
        <v>69</v>
      </c>
      <c r="U118" t="s">
        <v>274</v>
      </c>
    </row>
    <row r="119" spans="1:21" ht="18" customHeight="1">
      <c r="A119" t="s">
        <v>723</v>
      </c>
      <c r="B119" t="s">
        <v>212</v>
      </c>
      <c r="C119" t="s">
        <v>219</v>
      </c>
      <c r="E119" t="s">
        <v>74</v>
      </c>
      <c r="G119" t="s">
        <v>724</v>
      </c>
      <c r="H119" t="s">
        <v>725</v>
      </c>
      <c r="I119" t="s">
        <v>289</v>
      </c>
      <c r="J119" t="s">
        <v>726</v>
      </c>
      <c r="K119" t="s">
        <v>144</v>
      </c>
      <c r="L119" t="s">
        <v>103</v>
      </c>
      <c r="M119" t="s">
        <v>727</v>
      </c>
      <c r="N119" t="s">
        <v>33</v>
      </c>
      <c r="O119" t="s">
        <v>238</v>
      </c>
      <c r="P119" t="s">
        <v>49</v>
      </c>
      <c r="Q119" t="s">
        <v>728</v>
      </c>
      <c r="R119" t="s">
        <v>729</v>
      </c>
      <c r="S119" t="s">
        <v>117</v>
      </c>
      <c r="T119" t="s">
        <v>83</v>
      </c>
      <c r="U119" t="s">
        <v>171</v>
      </c>
    </row>
    <row r="120" spans="1:21" ht="18" customHeight="1">
      <c r="A120" t="s">
        <v>730</v>
      </c>
      <c r="B120" t="s">
        <v>356</v>
      </c>
      <c r="C120" t="s">
        <v>100</v>
      </c>
      <c r="D120" t="s">
        <v>73</v>
      </c>
      <c r="E120" t="s">
        <v>248</v>
      </c>
      <c r="G120" t="s">
        <v>731</v>
      </c>
      <c r="H120" t="s">
        <v>27</v>
      </c>
      <c r="I120" t="s">
        <v>91</v>
      </c>
      <c r="J120" t="s">
        <v>732</v>
      </c>
      <c r="K120" t="s">
        <v>77</v>
      </c>
      <c r="L120" t="s">
        <v>65</v>
      </c>
      <c r="M120" t="s">
        <v>179</v>
      </c>
      <c r="N120" t="s">
        <v>733</v>
      </c>
      <c r="O120" t="s">
        <v>238</v>
      </c>
      <c r="P120" t="s">
        <v>81</v>
      </c>
      <c r="Q120" t="s">
        <v>734</v>
      </c>
      <c r="R120" t="s">
        <v>53</v>
      </c>
      <c r="S120" t="s">
        <v>117</v>
      </c>
      <c r="T120" t="s">
        <v>96</v>
      </c>
      <c r="U120" t="s">
        <v>274</v>
      </c>
    </row>
    <row r="121" spans="1:21" ht="18" customHeight="1">
      <c r="B121" t="s">
        <v>735</v>
      </c>
      <c r="C121" t="s">
        <v>219</v>
      </c>
      <c r="D121" t="s">
        <v>73</v>
      </c>
      <c r="E121" t="s">
        <v>59</v>
      </c>
      <c r="H121" t="s">
        <v>736</v>
      </c>
      <c r="I121" t="s">
        <v>227</v>
      </c>
      <c r="K121" t="s">
        <v>134</v>
      </c>
      <c r="L121" t="s">
        <v>167</v>
      </c>
      <c r="O121" t="s">
        <v>80</v>
      </c>
      <c r="P121" t="s">
        <v>35</v>
      </c>
      <c r="Q121" t="s">
        <v>737</v>
      </c>
      <c r="R121" t="s">
        <v>737</v>
      </c>
      <c r="U121" t="s">
        <v>97</v>
      </c>
    </row>
    <row r="122" spans="1:21" ht="18" customHeight="1">
      <c r="A122" t="s">
        <v>738</v>
      </c>
      <c r="B122" t="s">
        <v>99</v>
      </c>
      <c r="C122" t="s">
        <v>120</v>
      </c>
      <c r="D122" t="s">
        <v>739</v>
      </c>
      <c r="E122" t="s">
        <v>88</v>
      </c>
      <c r="G122" t="s">
        <v>740</v>
      </c>
      <c r="I122" t="s">
        <v>289</v>
      </c>
      <c r="J122" t="s">
        <v>741</v>
      </c>
      <c r="K122" t="s">
        <v>144</v>
      </c>
      <c r="L122" t="s">
        <v>103</v>
      </c>
      <c r="M122" t="s">
        <v>179</v>
      </c>
      <c r="N122" t="s">
        <v>592</v>
      </c>
      <c r="O122" t="s">
        <v>238</v>
      </c>
      <c r="Q122" t="s">
        <v>742</v>
      </c>
      <c r="S122" t="s">
        <v>95</v>
      </c>
      <c r="T122" t="s">
        <v>148</v>
      </c>
      <c r="U122" t="s">
        <v>171</v>
      </c>
    </row>
    <row r="123" spans="1:21" ht="18" customHeight="1">
      <c r="A123" t="s">
        <v>743</v>
      </c>
      <c r="B123" t="s">
        <v>193</v>
      </c>
      <c r="C123" t="s">
        <v>140</v>
      </c>
      <c r="D123" t="s">
        <v>87</v>
      </c>
      <c r="E123" t="s">
        <v>88</v>
      </c>
      <c r="G123" t="s">
        <v>744</v>
      </c>
      <c r="I123" t="s">
        <v>101</v>
      </c>
      <c r="J123" t="s">
        <v>92</v>
      </c>
      <c r="K123" t="s">
        <v>77</v>
      </c>
      <c r="L123" t="s">
        <v>78</v>
      </c>
      <c r="M123" t="s">
        <v>145</v>
      </c>
      <c r="N123" t="s">
        <v>33</v>
      </c>
      <c r="O123" t="s">
        <v>80</v>
      </c>
      <c r="P123" t="s">
        <v>49</v>
      </c>
      <c r="Q123" t="s">
        <v>745</v>
      </c>
      <c r="R123" t="s">
        <v>53</v>
      </c>
      <c r="U123" t="s">
        <v>159</v>
      </c>
    </row>
    <row r="124" spans="1:21" ht="18" customHeight="1">
      <c r="A124" t="s">
        <v>746</v>
      </c>
      <c r="B124" t="s">
        <v>735</v>
      </c>
      <c r="C124" t="s">
        <v>57</v>
      </c>
      <c r="E124" t="s">
        <v>234</v>
      </c>
      <c r="G124" t="s">
        <v>61</v>
      </c>
      <c r="H124" t="s">
        <v>747</v>
      </c>
      <c r="I124" t="s">
        <v>63</v>
      </c>
      <c r="J124" t="s">
        <v>748</v>
      </c>
      <c r="K124" t="s">
        <v>111</v>
      </c>
      <c r="M124" t="s">
        <v>179</v>
      </c>
      <c r="O124" t="s">
        <v>749</v>
      </c>
      <c r="P124" t="s">
        <v>176</v>
      </c>
      <c r="Q124" t="s">
        <v>750</v>
      </c>
      <c r="R124" t="s">
        <v>37</v>
      </c>
      <c r="S124" t="s">
        <v>117</v>
      </c>
      <c r="T124" t="s">
        <v>96</v>
      </c>
      <c r="U124" t="s">
        <v>97</v>
      </c>
    </row>
    <row r="125" spans="1:21" ht="18" customHeight="1">
      <c r="A125" t="s">
        <v>751</v>
      </c>
      <c r="B125" t="s">
        <v>212</v>
      </c>
      <c r="C125" t="s">
        <v>174</v>
      </c>
      <c r="E125" t="s">
        <v>74</v>
      </c>
      <c r="G125" t="s">
        <v>752</v>
      </c>
      <c r="K125" t="s">
        <v>102</v>
      </c>
      <c r="L125" t="s">
        <v>49</v>
      </c>
      <c r="M125" t="s">
        <v>704</v>
      </c>
      <c r="O125" t="s">
        <v>204</v>
      </c>
      <c r="P125" t="s">
        <v>49</v>
      </c>
      <c r="Q125" t="s">
        <v>753</v>
      </c>
      <c r="R125" t="s">
        <v>37</v>
      </c>
      <c r="T125" t="s">
        <v>96</v>
      </c>
      <c r="U125" t="s">
        <v>159</v>
      </c>
    </row>
    <row r="126" spans="1:21" ht="18" customHeight="1">
      <c r="A126" t="s">
        <v>754</v>
      </c>
      <c r="B126" t="s">
        <v>85</v>
      </c>
      <c r="C126" t="s">
        <v>120</v>
      </c>
      <c r="D126" t="s">
        <v>24</v>
      </c>
      <c r="E126" t="s">
        <v>234</v>
      </c>
      <c r="G126" t="s">
        <v>61</v>
      </c>
      <c r="H126" t="s">
        <v>755</v>
      </c>
      <c r="I126" t="s">
        <v>227</v>
      </c>
      <c r="K126" t="s">
        <v>30</v>
      </c>
      <c r="L126" t="s">
        <v>412</v>
      </c>
      <c r="M126" t="s">
        <v>756</v>
      </c>
      <c r="O126" t="s">
        <v>80</v>
      </c>
      <c r="P126" t="s">
        <v>81</v>
      </c>
      <c r="Q126" t="s">
        <v>757</v>
      </c>
      <c r="R126" t="s">
        <v>757</v>
      </c>
      <c r="S126" t="s">
        <v>68</v>
      </c>
      <c r="T126" t="s">
        <v>39</v>
      </c>
      <c r="U126" t="s">
        <v>40</v>
      </c>
    </row>
    <row r="127" spans="1:21" ht="18" customHeight="1">
      <c r="B127" t="s">
        <v>661</v>
      </c>
      <c r="C127" t="s">
        <v>100</v>
      </c>
      <c r="E127" t="s">
        <v>183</v>
      </c>
      <c r="G127" t="s">
        <v>176</v>
      </c>
      <c r="H127" t="s">
        <v>27</v>
      </c>
      <c r="I127" t="s">
        <v>222</v>
      </c>
      <c r="J127" t="s">
        <v>92</v>
      </c>
      <c r="K127" t="s">
        <v>296</v>
      </c>
      <c r="L127" t="s">
        <v>229</v>
      </c>
      <c r="M127" t="s">
        <v>179</v>
      </c>
      <c r="N127" t="s">
        <v>33</v>
      </c>
      <c r="O127" t="s">
        <v>204</v>
      </c>
      <c r="P127" t="s">
        <v>176</v>
      </c>
      <c r="Q127" t="s">
        <v>758</v>
      </c>
      <c r="R127" t="s">
        <v>759</v>
      </c>
      <c r="T127" t="s">
        <v>39</v>
      </c>
      <c r="U127" t="s">
        <v>159</v>
      </c>
    </row>
    <row r="128" spans="1:21" ht="18" customHeight="1">
      <c r="A128" t="s">
        <v>760</v>
      </c>
      <c r="B128" t="s">
        <v>173</v>
      </c>
      <c r="C128" t="s">
        <v>475</v>
      </c>
      <c r="D128" t="s">
        <v>345</v>
      </c>
      <c r="E128" t="s">
        <v>88</v>
      </c>
      <c r="F128" t="s">
        <v>761</v>
      </c>
      <c r="G128" t="s">
        <v>762</v>
      </c>
      <c r="I128" t="s">
        <v>63</v>
      </c>
      <c r="J128" t="s">
        <v>548</v>
      </c>
      <c r="K128" t="s">
        <v>77</v>
      </c>
      <c r="L128" t="s">
        <v>167</v>
      </c>
      <c r="M128" t="s">
        <v>763</v>
      </c>
      <c r="N128" t="s">
        <v>33</v>
      </c>
      <c r="Q128" t="s">
        <v>764</v>
      </c>
      <c r="R128" t="s">
        <v>116</v>
      </c>
      <c r="S128" t="s">
        <v>137</v>
      </c>
      <c r="T128" t="s">
        <v>54</v>
      </c>
      <c r="U128" t="s">
        <v>97</v>
      </c>
    </row>
    <row r="129" spans="1:21" ht="18" customHeight="1">
      <c r="A129" t="s">
        <v>765</v>
      </c>
      <c r="B129" t="s">
        <v>56</v>
      </c>
      <c r="C129" t="s">
        <v>260</v>
      </c>
      <c r="D129" t="s">
        <v>24</v>
      </c>
      <c r="E129" t="s">
        <v>74</v>
      </c>
      <c r="G129" t="s">
        <v>766</v>
      </c>
      <c r="I129" t="s">
        <v>101</v>
      </c>
      <c r="J129" t="s">
        <v>767</v>
      </c>
      <c r="N129" t="s">
        <v>768</v>
      </c>
      <c r="O129" t="s">
        <v>204</v>
      </c>
      <c r="P129" t="s">
        <v>51</v>
      </c>
      <c r="Q129" t="s">
        <v>769</v>
      </c>
      <c r="R129" t="s">
        <v>37</v>
      </c>
      <c r="S129" t="s">
        <v>95</v>
      </c>
      <c r="T129" t="s">
        <v>211</v>
      </c>
      <c r="U129" t="s">
        <v>159</v>
      </c>
    </row>
    <row r="130" spans="1:21" ht="18" customHeight="1">
      <c r="A130" t="s">
        <v>770</v>
      </c>
      <c r="B130" t="s">
        <v>424</v>
      </c>
      <c r="C130" t="s">
        <v>440</v>
      </c>
      <c r="E130" t="s">
        <v>88</v>
      </c>
      <c r="H130" t="s">
        <v>771</v>
      </c>
      <c r="I130" t="s">
        <v>91</v>
      </c>
      <c r="J130" t="s">
        <v>772</v>
      </c>
      <c r="K130" t="s">
        <v>144</v>
      </c>
      <c r="L130" t="s">
        <v>31</v>
      </c>
      <c r="M130" t="s">
        <v>179</v>
      </c>
      <c r="O130" t="s">
        <v>80</v>
      </c>
      <c r="P130" t="s">
        <v>114</v>
      </c>
      <c r="Q130" t="s">
        <v>773</v>
      </c>
      <c r="R130" t="s">
        <v>773</v>
      </c>
      <c r="S130" t="s">
        <v>95</v>
      </c>
      <c r="T130" t="s">
        <v>54</v>
      </c>
    </row>
    <row r="131" spans="1:21" ht="18" customHeight="1">
      <c r="A131" t="s">
        <v>774</v>
      </c>
      <c r="B131" t="s">
        <v>161</v>
      </c>
      <c r="C131" t="s">
        <v>57</v>
      </c>
      <c r="D131" t="s">
        <v>73</v>
      </c>
      <c r="E131" t="s">
        <v>25</v>
      </c>
      <c r="G131" t="s">
        <v>61</v>
      </c>
      <c r="H131" t="s">
        <v>775</v>
      </c>
      <c r="I131" t="s">
        <v>76</v>
      </c>
      <c r="J131" t="s">
        <v>92</v>
      </c>
      <c r="K131" t="s">
        <v>144</v>
      </c>
      <c r="L131" t="s">
        <v>78</v>
      </c>
      <c r="M131" t="s">
        <v>359</v>
      </c>
      <c r="N131" t="s">
        <v>33</v>
      </c>
      <c r="O131" t="s">
        <v>80</v>
      </c>
      <c r="P131" t="s">
        <v>49</v>
      </c>
      <c r="Q131" t="s">
        <v>776</v>
      </c>
      <c r="R131" t="s">
        <v>776</v>
      </c>
      <c r="S131" t="s">
        <v>137</v>
      </c>
      <c r="U131" t="s">
        <v>274</v>
      </c>
    </row>
    <row r="132" spans="1:21" ht="18" customHeight="1">
      <c r="A132" t="s">
        <v>777</v>
      </c>
      <c r="B132" t="s">
        <v>603</v>
      </c>
      <c r="C132" t="s">
        <v>120</v>
      </c>
      <c r="E132" t="s">
        <v>74</v>
      </c>
      <c r="G132" t="s">
        <v>778</v>
      </c>
      <c r="H132" t="s">
        <v>779</v>
      </c>
      <c r="I132" t="s">
        <v>222</v>
      </c>
      <c r="J132" t="s">
        <v>92</v>
      </c>
      <c r="K132" t="s">
        <v>134</v>
      </c>
      <c r="L132" t="s">
        <v>31</v>
      </c>
      <c r="P132" t="s">
        <v>81</v>
      </c>
      <c r="Q132" t="s">
        <v>780</v>
      </c>
      <c r="R132" t="s">
        <v>780</v>
      </c>
      <c r="S132" t="s">
        <v>95</v>
      </c>
      <c r="T132" t="s">
        <v>211</v>
      </c>
      <c r="U132" t="s">
        <v>97</v>
      </c>
    </row>
    <row r="133" spans="1:21" ht="18" customHeight="1">
      <c r="A133" t="s">
        <v>781</v>
      </c>
      <c r="B133" t="s">
        <v>22</v>
      </c>
      <c r="C133" t="s">
        <v>120</v>
      </c>
      <c r="D133" t="s">
        <v>24</v>
      </c>
      <c r="E133" t="s">
        <v>25</v>
      </c>
      <c r="G133" t="s">
        <v>782</v>
      </c>
      <c r="H133" t="s">
        <v>783</v>
      </c>
      <c r="I133" t="s">
        <v>110</v>
      </c>
      <c r="J133" t="s">
        <v>784</v>
      </c>
      <c r="K133" t="s">
        <v>144</v>
      </c>
      <c r="L133" t="s">
        <v>155</v>
      </c>
      <c r="O133" t="s">
        <v>80</v>
      </c>
      <c r="P133" t="s">
        <v>35</v>
      </c>
      <c r="Q133" t="s">
        <v>785</v>
      </c>
      <c r="R133" t="s">
        <v>786</v>
      </c>
      <c r="U133" t="s">
        <v>171</v>
      </c>
    </row>
    <row r="134" spans="1:21" ht="18" customHeight="1">
      <c r="A134" t="s">
        <v>787</v>
      </c>
      <c r="B134" t="s">
        <v>241</v>
      </c>
      <c r="C134" t="s">
        <v>313</v>
      </c>
      <c r="D134" t="s">
        <v>24</v>
      </c>
      <c r="E134" t="s">
        <v>183</v>
      </c>
      <c r="H134" t="s">
        <v>788</v>
      </c>
      <c r="I134" t="s">
        <v>222</v>
      </c>
      <c r="J134" t="s">
        <v>92</v>
      </c>
      <c r="K134" t="s">
        <v>144</v>
      </c>
      <c r="L134" t="s">
        <v>195</v>
      </c>
      <c r="M134" t="s">
        <v>789</v>
      </c>
      <c r="N134" t="s">
        <v>790</v>
      </c>
      <c r="O134" t="s">
        <v>204</v>
      </c>
      <c r="P134" t="s">
        <v>114</v>
      </c>
      <c r="Q134" t="s">
        <v>791</v>
      </c>
      <c r="R134" t="s">
        <v>792</v>
      </c>
      <c r="S134" t="s">
        <v>95</v>
      </c>
      <c r="T134" t="s">
        <v>211</v>
      </c>
      <c r="U134" t="s">
        <v>274</v>
      </c>
    </row>
    <row r="135" spans="1:21" ht="18" customHeight="1">
      <c r="A135" t="s">
        <v>793</v>
      </c>
      <c r="B135" t="s">
        <v>22</v>
      </c>
      <c r="C135" t="s">
        <v>86</v>
      </c>
      <c r="D135" t="s">
        <v>24</v>
      </c>
      <c r="E135" t="s">
        <v>234</v>
      </c>
      <c r="G135" t="s">
        <v>794</v>
      </c>
      <c r="I135" t="s">
        <v>222</v>
      </c>
      <c r="J135" t="s">
        <v>795</v>
      </c>
      <c r="K135" t="s">
        <v>48</v>
      </c>
      <c r="L135" t="s">
        <v>412</v>
      </c>
      <c r="M135" t="s">
        <v>145</v>
      </c>
      <c r="O135" t="s">
        <v>238</v>
      </c>
      <c r="P135" t="s">
        <v>93</v>
      </c>
      <c r="Q135" t="s">
        <v>796</v>
      </c>
      <c r="R135" t="s">
        <v>37</v>
      </c>
      <c r="S135" t="s">
        <v>137</v>
      </c>
      <c r="T135" t="s">
        <v>148</v>
      </c>
      <c r="U135" t="s">
        <v>171</v>
      </c>
    </row>
    <row r="136" spans="1:21" ht="18" customHeight="1">
      <c r="A136" t="s">
        <v>797</v>
      </c>
      <c r="B136" t="s">
        <v>56</v>
      </c>
      <c r="C136" t="s">
        <v>344</v>
      </c>
      <c r="D136" t="s">
        <v>24</v>
      </c>
      <c r="E136" t="s">
        <v>59</v>
      </c>
      <c r="G136" t="s">
        <v>798</v>
      </c>
      <c r="H136" t="s">
        <v>799</v>
      </c>
      <c r="I136" t="s">
        <v>76</v>
      </c>
      <c r="J136" t="s">
        <v>800</v>
      </c>
      <c r="K136" t="s">
        <v>102</v>
      </c>
      <c r="M136" t="s">
        <v>179</v>
      </c>
      <c r="N136" t="s">
        <v>156</v>
      </c>
      <c r="O136" t="s">
        <v>238</v>
      </c>
      <c r="P136" t="s">
        <v>51</v>
      </c>
      <c r="Q136" t="s">
        <v>801</v>
      </c>
      <c r="R136" t="s">
        <v>37</v>
      </c>
      <c r="S136" t="s">
        <v>68</v>
      </c>
      <c r="T136" t="s">
        <v>148</v>
      </c>
      <c r="U136" t="s">
        <v>40</v>
      </c>
    </row>
    <row r="137" spans="1:21" ht="18" customHeight="1">
      <c r="A137" t="s">
        <v>802</v>
      </c>
      <c r="B137" t="s">
        <v>85</v>
      </c>
      <c r="C137" t="s">
        <v>72</v>
      </c>
      <c r="E137" t="s">
        <v>183</v>
      </c>
      <c r="G137" t="s">
        <v>803</v>
      </c>
      <c r="H137" t="s">
        <v>804</v>
      </c>
      <c r="I137" t="s">
        <v>132</v>
      </c>
      <c r="J137" t="s">
        <v>805</v>
      </c>
      <c r="K137" t="s">
        <v>77</v>
      </c>
      <c r="L137" t="s">
        <v>31</v>
      </c>
      <c r="M137" t="s">
        <v>179</v>
      </c>
      <c r="N137" t="s">
        <v>657</v>
      </c>
      <c r="O137" t="s">
        <v>806</v>
      </c>
      <c r="P137" t="s">
        <v>81</v>
      </c>
      <c r="Q137" t="s">
        <v>807</v>
      </c>
      <c r="R137" t="s">
        <v>807</v>
      </c>
      <c r="S137" t="s">
        <v>137</v>
      </c>
      <c r="T137" t="s">
        <v>148</v>
      </c>
      <c r="U137" t="s">
        <v>40</v>
      </c>
    </row>
    <row r="138" spans="1:21" ht="18" customHeight="1">
      <c r="A138" t="s">
        <v>808</v>
      </c>
      <c r="B138" t="s">
        <v>173</v>
      </c>
      <c r="C138" t="s">
        <v>57</v>
      </c>
      <c r="D138" t="s">
        <v>87</v>
      </c>
      <c r="E138" t="s">
        <v>88</v>
      </c>
      <c r="H138" t="s">
        <v>27</v>
      </c>
      <c r="I138" t="s">
        <v>222</v>
      </c>
      <c r="J138" t="s">
        <v>809</v>
      </c>
      <c r="K138" t="s">
        <v>111</v>
      </c>
      <c r="L138" t="s">
        <v>167</v>
      </c>
      <c r="M138" t="s">
        <v>230</v>
      </c>
      <c r="N138" t="s">
        <v>33</v>
      </c>
      <c r="O138" t="s">
        <v>204</v>
      </c>
      <c r="P138" t="s">
        <v>49</v>
      </c>
      <c r="Q138" t="s">
        <v>810</v>
      </c>
      <c r="R138" t="s">
        <v>37</v>
      </c>
      <c r="S138" t="s">
        <v>137</v>
      </c>
      <c r="U138" t="s">
        <v>97</v>
      </c>
    </row>
    <row r="139" spans="1:21" ht="18" customHeight="1">
      <c r="B139" t="s">
        <v>193</v>
      </c>
      <c r="C139" t="s">
        <v>72</v>
      </c>
      <c r="D139" t="s">
        <v>811</v>
      </c>
      <c r="E139" t="s">
        <v>163</v>
      </c>
      <c r="G139" t="s">
        <v>812</v>
      </c>
      <c r="H139" t="s">
        <v>813</v>
      </c>
      <c r="I139" t="s">
        <v>132</v>
      </c>
      <c r="J139" t="s">
        <v>92</v>
      </c>
      <c r="K139" t="s">
        <v>134</v>
      </c>
      <c r="L139" t="s">
        <v>167</v>
      </c>
      <c r="M139" t="s">
        <v>179</v>
      </c>
      <c r="N139" t="s">
        <v>814</v>
      </c>
      <c r="O139" t="s">
        <v>238</v>
      </c>
      <c r="P139" t="s">
        <v>49</v>
      </c>
      <c r="Q139" t="s">
        <v>815</v>
      </c>
      <c r="R139" t="s">
        <v>116</v>
      </c>
      <c r="S139" t="s">
        <v>117</v>
      </c>
      <c r="T139" t="s">
        <v>54</v>
      </c>
      <c r="U139" t="s">
        <v>274</v>
      </c>
    </row>
    <row r="140" spans="1:21" ht="18" customHeight="1">
      <c r="B140" t="s">
        <v>161</v>
      </c>
      <c r="C140" t="s">
        <v>140</v>
      </c>
      <c r="D140" t="s">
        <v>87</v>
      </c>
      <c r="E140" t="s">
        <v>163</v>
      </c>
      <c r="H140" t="s">
        <v>816</v>
      </c>
      <c r="I140" t="s">
        <v>132</v>
      </c>
      <c r="J140" t="s">
        <v>817</v>
      </c>
      <c r="K140" t="s">
        <v>30</v>
      </c>
      <c r="L140" t="s">
        <v>49</v>
      </c>
      <c r="M140" t="s">
        <v>145</v>
      </c>
      <c r="N140" t="s">
        <v>33</v>
      </c>
      <c r="O140" t="s">
        <v>238</v>
      </c>
      <c r="Q140" t="s">
        <v>818</v>
      </c>
      <c r="R140" t="s">
        <v>53</v>
      </c>
      <c r="S140" t="s">
        <v>68</v>
      </c>
      <c r="T140" t="s">
        <v>211</v>
      </c>
      <c r="U140" t="s">
        <v>97</v>
      </c>
    </row>
    <row r="141" spans="1:21" ht="18" customHeight="1">
      <c r="A141" t="s">
        <v>819</v>
      </c>
      <c r="B141" t="s">
        <v>173</v>
      </c>
      <c r="C141" t="s">
        <v>313</v>
      </c>
      <c r="D141" t="s">
        <v>87</v>
      </c>
      <c r="E141" t="s">
        <v>248</v>
      </c>
      <c r="G141" t="s">
        <v>61</v>
      </c>
      <c r="H141" t="s">
        <v>820</v>
      </c>
      <c r="I141" t="s">
        <v>289</v>
      </c>
      <c r="K141" t="s">
        <v>111</v>
      </c>
      <c r="L141" t="s">
        <v>103</v>
      </c>
      <c r="N141" t="s">
        <v>524</v>
      </c>
      <c r="O141" t="s">
        <v>658</v>
      </c>
      <c r="P141" t="s">
        <v>93</v>
      </c>
      <c r="Q141" t="s">
        <v>821</v>
      </c>
      <c r="R141" t="s">
        <v>821</v>
      </c>
      <c r="S141" t="s">
        <v>38</v>
      </c>
      <c r="T141" t="s">
        <v>39</v>
      </c>
    </row>
    <row r="142" spans="1:21" ht="18" customHeight="1">
      <c r="B142" t="s">
        <v>661</v>
      </c>
      <c r="C142" t="s">
        <v>440</v>
      </c>
      <c r="D142" t="s">
        <v>73</v>
      </c>
      <c r="E142" t="s">
        <v>234</v>
      </c>
      <c r="G142" t="s">
        <v>822</v>
      </c>
      <c r="H142" t="s">
        <v>27</v>
      </c>
      <c r="I142" t="s">
        <v>110</v>
      </c>
      <c r="J142" t="s">
        <v>823</v>
      </c>
      <c r="K142" t="s">
        <v>134</v>
      </c>
      <c r="L142" t="s">
        <v>229</v>
      </c>
      <c r="M142" t="s">
        <v>824</v>
      </c>
      <c r="O142" t="s">
        <v>80</v>
      </c>
      <c r="Q142" t="s">
        <v>825</v>
      </c>
      <c r="R142" t="s">
        <v>37</v>
      </c>
      <c r="S142" t="s">
        <v>68</v>
      </c>
      <c r="U142" t="s">
        <v>40</v>
      </c>
    </row>
    <row r="143" spans="1:21" ht="18" customHeight="1">
      <c r="B143" t="s">
        <v>541</v>
      </c>
      <c r="C143" t="s">
        <v>344</v>
      </c>
      <c r="D143" t="s">
        <v>826</v>
      </c>
      <c r="F143" t="s">
        <v>827</v>
      </c>
      <c r="G143" t="s">
        <v>176</v>
      </c>
      <c r="H143" t="s">
        <v>828</v>
      </c>
      <c r="I143" t="s">
        <v>76</v>
      </c>
      <c r="J143" t="s">
        <v>829</v>
      </c>
      <c r="K143" t="s">
        <v>48</v>
      </c>
      <c r="L143" t="s">
        <v>224</v>
      </c>
      <c r="N143" t="s">
        <v>33</v>
      </c>
      <c r="O143" t="s">
        <v>204</v>
      </c>
      <c r="P143" t="s">
        <v>35</v>
      </c>
      <c r="Q143" t="s">
        <v>830</v>
      </c>
      <c r="R143" t="s">
        <v>37</v>
      </c>
      <c r="S143" t="s">
        <v>117</v>
      </c>
      <c r="T143" t="s">
        <v>211</v>
      </c>
      <c r="U143" t="s">
        <v>171</v>
      </c>
    </row>
    <row r="144" spans="1:21" ht="18" customHeight="1">
      <c r="A144" t="s">
        <v>831</v>
      </c>
      <c r="B144" t="s">
        <v>56</v>
      </c>
      <c r="C144" t="s">
        <v>282</v>
      </c>
      <c r="D144" t="s">
        <v>832</v>
      </c>
      <c r="E144" t="s">
        <v>151</v>
      </c>
      <c r="F144" t="s">
        <v>833</v>
      </c>
      <c r="I144" t="s">
        <v>222</v>
      </c>
      <c r="J144" t="s">
        <v>834</v>
      </c>
      <c r="K144" t="s">
        <v>296</v>
      </c>
      <c r="M144" t="s">
        <v>145</v>
      </c>
      <c r="N144" t="s">
        <v>33</v>
      </c>
      <c r="P144" t="s">
        <v>114</v>
      </c>
      <c r="Q144" t="s">
        <v>835</v>
      </c>
      <c r="R144" t="s">
        <v>53</v>
      </c>
      <c r="S144" t="s">
        <v>137</v>
      </c>
      <c r="T144" t="s">
        <v>54</v>
      </c>
      <c r="U144" t="s">
        <v>274</v>
      </c>
    </row>
    <row r="145" spans="1:21" ht="18" customHeight="1">
      <c r="A145" t="s">
        <v>836</v>
      </c>
      <c r="B145" t="s">
        <v>193</v>
      </c>
      <c r="C145" t="s">
        <v>394</v>
      </c>
      <c r="E145" t="s">
        <v>59</v>
      </c>
      <c r="G145" t="s">
        <v>837</v>
      </c>
      <c r="I145" t="s">
        <v>101</v>
      </c>
      <c r="J145" t="s">
        <v>838</v>
      </c>
      <c r="L145" t="s">
        <v>155</v>
      </c>
      <c r="M145" t="s">
        <v>505</v>
      </c>
      <c r="O145" t="s">
        <v>238</v>
      </c>
      <c r="Q145" t="s">
        <v>839</v>
      </c>
      <c r="R145" t="s">
        <v>37</v>
      </c>
      <c r="S145" t="s">
        <v>117</v>
      </c>
      <c r="T145" t="s">
        <v>96</v>
      </c>
      <c r="U145" t="s">
        <v>274</v>
      </c>
    </row>
    <row r="146" spans="1:21" ht="18" customHeight="1">
      <c r="A146" t="s">
        <v>840</v>
      </c>
      <c r="B146" t="s">
        <v>119</v>
      </c>
      <c r="C146" t="s">
        <v>23</v>
      </c>
      <c r="D146" t="s">
        <v>73</v>
      </c>
      <c r="E146" t="s">
        <v>25</v>
      </c>
      <c r="I146" t="s">
        <v>46</v>
      </c>
      <c r="J146" t="s">
        <v>92</v>
      </c>
      <c r="K146" t="s">
        <v>48</v>
      </c>
      <c r="L146" t="s">
        <v>31</v>
      </c>
      <c r="M146" t="s">
        <v>841</v>
      </c>
      <c r="N146" t="s">
        <v>591</v>
      </c>
      <c r="O146" t="s">
        <v>80</v>
      </c>
      <c r="P146" t="s">
        <v>49</v>
      </c>
      <c r="Q146" t="s">
        <v>842</v>
      </c>
      <c r="R146" t="s">
        <v>53</v>
      </c>
      <c r="T146" t="s">
        <v>54</v>
      </c>
      <c r="U146" t="s">
        <v>171</v>
      </c>
    </row>
    <row r="147" spans="1:21" ht="18" customHeight="1">
      <c r="B147" t="s">
        <v>193</v>
      </c>
      <c r="C147" t="s">
        <v>23</v>
      </c>
      <c r="E147" t="s">
        <v>151</v>
      </c>
      <c r="G147" t="s">
        <v>176</v>
      </c>
      <c r="H147" t="s">
        <v>843</v>
      </c>
      <c r="I147" t="s">
        <v>46</v>
      </c>
      <c r="K147" t="s">
        <v>48</v>
      </c>
      <c r="N147" t="s">
        <v>524</v>
      </c>
      <c r="P147" t="s">
        <v>93</v>
      </c>
      <c r="Q147" t="s">
        <v>844</v>
      </c>
      <c r="R147" t="s">
        <v>116</v>
      </c>
      <c r="S147" t="s">
        <v>38</v>
      </c>
      <c r="T147" t="s">
        <v>83</v>
      </c>
    </row>
    <row r="148" spans="1:21" ht="18" customHeight="1">
      <c r="A148" t="s">
        <v>845</v>
      </c>
      <c r="B148" t="s">
        <v>356</v>
      </c>
      <c r="C148" t="s">
        <v>313</v>
      </c>
      <c r="D148" t="s">
        <v>87</v>
      </c>
      <c r="E148" t="s">
        <v>183</v>
      </c>
      <c r="H148" t="s">
        <v>846</v>
      </c>
      <c r="I148" t="s">
        <v>132</v>
      </c>
      <c r="J148" t="s">
        <v>847</v>
      </c>
      <c r="K148" t="s">
        <v>111</v>
      </c>
      <c r="M148" t="s">
        <v>848</v>
      </c>
      <c r="O148" t="s">
        <v>80</v>
      </c>
      <c r="P148" t="s">
        <v>93</v>
      </c>
      <c r="Q148" t="s">
        <v>849</v>
      </c>
      <c r="S148" t="s">
        <v>38</v>
      </c>
      <c r="T148" t="s">
        <v>54</v>
      </c>
      <c r="U148" t="s">
        <v>274</v>
      </c>
    </row>
    <row r="149" spans="1:21" ht="18" customHeight="1">
      <c r="A149" t="s">
        <v>850</v>
      </c>
      <c r="B149" t="s">
        <v>233</v>
      </c>
      <c r="C149" t="s">
        <v>260</v>
      </c>
      <c r="D149" t="s">
        <v>24</v>
      </c>
      <c r="E149" t="s">
        <v>234</v>
      </c>
      <c r="G149" t="s">
        <v>61</v>
      </c>
      <c r="H149" t="s">
        <v>851</v>
      </c>
      <c r="I149" t="s">
        <v>101</v>
      </c>
      <c r="K149" t="s">
        <v>111</v>
      </c>
      <c r="L149" t="s">
        <v>195</v>
      </c>
      <c r="M149" t="s">
        <v>852</v>
      </c>
      <c r="N149" t="s">
        <v>853</v>
      </c>
      <c r="O149" t="s">
        <v>238</v>
      </c>
      <c r="P149" t="s">
        <v>93</v>
      </c>
      <c r="Q149" t="s">
        <v>854</v>
      </c>
      <c r="R149" t="s">
        <v>855</v>
      </c>
      <c r="S149" t="s">
        <v>95</v>
      </c>
      <c r="T149" t="s">
        <v>96</v>
      </c>
      <c r="U149" t="s">
        <v>97</v>
      </c>
    </row>
    <row r="150" spans="1:21" ht="18" customHeight="1">
      <c r="A150" t="s">
        <v>856</v>
      </c>
      <c r="B150" t="s">
        <v>42</v>
      </c>
      <c r="C150" t="s">
        <v>269</v>
      </c>
      <c r="D150" t="s">
        <v>24</v>
      </c>
      <c r="E150" t="s">
        <v>183</v>
      </c>
      <c r="H150" t="s">
        <v>857</v>
      </c>
      <c r="I150" t="s">
        <v>76</v>
      </c>
      <c r="J150" t="s">
        <v>314</v>
      </c>
      <c r="L150" t="s">
        <v>49</v>
      </c>
      <c r="O150" t="s">
        <v>238</v>
      </c>
      <c r="P150" t="s">
        <v>114</v>
      </c>
      <c r="Q150" t="s">
        <v>858</v>
      </c>
      <c r="S150" t="s">
        <v>68</v>
      </c>
      <c r="T150" t="s">
        <v>54</v>
      </c>
      <c r="U150" t="s">
        <v>159</v>
      </c>
    </row>
    <row r="151" spans="1:21" ht="18" customHeight="1">
      <c r="A151" t="s">
        <v>859</v>
      </c>
      <c r="B151" t="s">
        <v>603</v>
      </c>
      <c r="C151" t="s">
        <v>140</v>
      </c>
      <c r="D151" t="s">
        <v>24</v>
      </c>
      <c r="E151" t="s">
        <v>59</v>
      </c>
      <c r="H151" t="s">
        <v>860</v>
      </c>
      <c r="I151" t="s">
        <v>76</v>
      </c>
      <c r="J151" t="s">
        <v>861</v>
      </c>
      <c r="K151" t="s">
        <v>111</v>
      </c>
      <c r="L151" t="s">
        <v>412</v>
      </c>
      <c r="M151" t="s">
        <v>179</v>
      </c>
      <c r="N151" t="s">
        <v>524</v>
      </c>
      <c r="P151" t="s">
        <v>49</v>
      </c>
      <c r="Q151" t="s">
        <v>862</v>
      </c>
      <c r="U151" t="s">
        <v>274</v>
      </c>
    </row>
    <row r="152" spans="1:21" ht="18" customHeight="1">
      <c r="A152" t="s">
        <v>863</v>
      </c>
      <c r="B152" t="s">
        <v>193</v>
      </c>
      <c r="C152" t="s">
        <v>43</v>
      </c>
      <c r="D152" t="s">
        <v>24</v>
      </c>
      <c r="E152" t="s">
        <v>234</v>
      </c>
      <c r="G152" t="s">
        <v>864</v>
      </c>
      <c r="H152" t="s">
        <v>865</v>
      </c>
      <c r="I152" t="s">
        <v>63</v>
      </c>
      <c r="K152" t="s">
        <v>144</v>
      </c>
      <c r="L152" t="s">
        <v>31</v>
      </c>
      <c r="M152" t="s">
        <v>179</v>
      </c>
      <c r="N152" t="s">
        <v>733</v>
      </c>
      <c r="O152" t="s">
        <v>866</v>
      </c>
      <c r="P152" t="s">
        <v>93</v>
      </c>
      <c r="Q152" t="s">
        <v>867</v>
      </c>
      <c r="R152" t="s">
        <v>868</v>
      </c>
      <c r="S152" t="s">
        <v>137</v>
      </c>
      <c r="T152" t="s">
        <v>211</v>
      </c>
      <c r="U152" t="s">
        <v>40</v>
      </c>
    </row>
    <row r="153" spans="1:21" ht="18" customHeight="1">
      <c r="A153" t="s">
        <v>98</v>
      </c>
      <c r="B153" t="s">
        <v>99</v>
      </c>
      <c r="C153" t="s">
        <v>100</v>
      </c>
      <c r="D153" t="s">
        <v>87</v>
      </c>
      <c r="E153" t="s">
        <v>88</v>
      </c>
      <c r="G153" t="s">
        <v>61</v>
      </c>
      <c r="H153" t="s">
        <v>27</v>
      </c>
      <c r="I153" t="s">
        <v>101</v>
      </c>
      <c r="K153" t="s">
        <v>102</v>
      </c>
      <c r="L153" t="s">
        <v>103</v>
      </c>
      <c r="M153" t="s">
        <v>104</v>
      </c>
      <c r="O153" t="s">
        <v>105</v>
      </c>
      <c r="P153" t="s">
        <v>35</v>
      </c>
      <c r="Q153" t="s">
        <v>106</v>
      </c>
      <c r="R153" t="s">
        <v>107</v>
      </c>
      <c r="S153" t="s">
        <v>68</v>
      </c>
      <c r="T153" t="s">
        <v>54</v>
      </c>
      <c r="U153" t="s">
        <v>40</v>
      </c>
    </row>
    <row r="154" spans="1:21" ht="18" customHeight="1">
      <c r="A154" t="s">
        <v>309</v>
      </c>
      <c r="B154" t="s">
        <v>241</v>
      </c>
      <c r="C154" t="s">
        <v>120</v>
      </c>
      <c r="D154" t="s">
        <v>73</v>
      </c>
      <c r="E154" t="s">
        <v>74</v>
      </c>
      <c r="G154" t="s">
        <v>61</v>
      </c>
      <c r="H154" t="s">
        <v>27</v>
      </c>
      <c r="I154" t="s">
        <v>289</v>
      </c>
      <c r="J154" t="s">
        <v>92</v>
      </c>
      <c r="K154" t="s">
        <v>134</v>
      </c>
      <c r="L154" t="s">
        <v>103</v>
      </c>
      <c r="M154" t="s">
        <v>179</v>
      </c>
      <c r="N154" t="s">
        <v>34</v>
      </c>
      <c r="O154" t="s">
        <v>310</v>
      </c>
      <c r="P154" t="s">
        <v>35</v>
      </c>
      <c r="Q154" t="s">
        <v>311</v>
      </c>
      <c r="R154" t="s">
        <v>37</v>
      </c>
      <c r="S154" t="s">
        <v>137</v>
      </c>
    </row>
    <row r="155" spans="1:21" ht="18" customHeight="1">
      <c r="A155" t="s">
        <v>869</v>
      </c>
      <c r="B155" t="s">
        <v>870</v>
      </c>
      <c r="C155" t="s">
        <v>871</v>
      </c>
      <c r="U155" t="s">
        <v>872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53"/>
  <sheetViews>
    <sheetView tabSelected="1" topLeftCell="V1" workbookViewId="0">
      <selection activeCell="AW33" sqref="AW33"/>
    </sheetView>
  </sheetViews>
  <sheetFormatPr defaultRowHeight="14.25"/>
  <cols>
    <col min="1" max="1" width="13" hidden="1" customWidth="1"/>
    <col min="2" max="2" width="22.625" customWidth="1"/>
    <col min="3" max="3" width="14" hidden="1" customWidth="1"/>
    <col min="4" max="4" width="18" customWidth="1"/>
    <col min="5" max="5" width="16.125" hidden="1" customWidth="1"/>
    <col min="6" max="6" width="19.5" customWidth="1"/>
    <col min="7" max="7" width="8" hidden="1" customWidth="1"/>
    <col min="8" max="8" width="13.875" bestFit="1" customWidth="1"/>
    <col min="9" max="9" width="13.875" hidden="1" customWidth="1"/>
    <col min="10" max="10" width="20.5" customWidth="1"/>
    <col min="11" max="11" width="14" hidden="1" customWidth="1"/>
    <col min="12" max="12" width="14.75" style="8" bestFit="1" customWidth="1"/>
    <col min="13" max="13" width="16" hidden="1" customWidth="1"/>
    <col min="14" max="14" width="18.375" customWidth="1"/>
    <col min="15" max="15" width="26.5" hidden="1" customWidth="1"/>
    <col min="16" max="16" width="26.5" customWidth="1"/>
    <col min="17" max="17" width="13" hidden="1" customWidth="1"/>
    <col min="18" max="18" width="18.5" customWidth="1"/>
    <col min="19" max="19" width="15" hidden="1" customWidth="1"/>
    <col min="20" max="20" width="16.875" style="8" customWidth="1"/>
    <col min="21" max="21" width="16" hidden="1" customWidth="1"/>
    <col min="22" max="22" width="23.375" customWidth="1"/>
    <col min="23" max="23" width="20" hidden="1" customWidth="1"/>
    <col min="24" max="24" width="26.875" customWidth="1"/>
    <col min="25" max="25" width="15" hidden="1" customWidth="1"/>
    <col min="26" max="26" width="26.875" customWidth="1"/>
    <col min="27" max="27" width="26.875" hidden="1" customWidth="1"/>
    <col min="28" max="28" width="14" hidden="1" customWidth="1"/>
    <col min="29" max="30" width="22.625" customWidth="1"/>
    <col min="31" max="31" width="15" hidden="1" customWidth="1"/>
    <col min="32" max="33" width="21.25" customWidth="1"/>
    <col min="34" max="34" width="18" hidden="1" customWidth="1"/>
    <col min="35" max="35" width="26.375" customWidth="1"/>
    <col min="36" max="36" width="12.75" style="5" hidden="1" customWidth="1"/>
    <col min="37" max="37" width="20.75" customWidth="1"/>
    <col min="38" max="38" width="18.125" hidden="1" customWidth="1"/>
    <col min="39" max="39" width="22.125" customWidth="1"/>
    <col min="40" max="40" width="16" hidden="1" customWidth="1"/>
    <col min="41" max="41" width="23" customWidth="1"/>
    <col min="42" max="42" width="20.875" customWidth="1"/>
    <col min="43" max="43" width="25.375" customWidth="1"/>
    <col min="44" max="44" width="1.875" hidden="1" customWidth="1"/>
    <col min="45" max="45" width="18.625" customWidth="1"/>
    <col min="46" max="46" width="5.25" hidden="1" customWidth="1"/>
    <col min="47" max="47" width="28" customWidth="1"/>
  </cols>
  <sheetData>
    <row r="1" spans="1:47" ht="18" customHeight="1">
      <c r="A1" s="1" t="s">
        <v>0</v>
      </c>
      <c r="B1" s="1" t="s">
        <v>898</v>
      </c>
      <c r="C1" s="1" t="s">
        <v>1</v>
      </c>
      <c r="D1" s="1" t="s">
        <v>916</v>
      </c>
      <c r="E1" s="1" t="s">
        <v>2</v>
      </c>
      <c r="F1" s="1" t="s">
        <v>917</v>
      </c>
      <c r="G1" s="1" t="s">
        <v>3</v>
      </c>
      <c r="H1" s="1" t="s">
        <v>912</v>
      </c>
      <c r="I1" s="1" t="s">
        <v>4</v>
      </c>
      <c r="J1" s="1" t="s">
        <v>897</v>
      </c>
      <c r="K1" s="1" t="s">
        <v>5</v>
      </c>
      <c r="L1" s="7" t="s">
        <v>913</v>
      </c>
      <c r="M1" s="1" t="s">
        <v>6</v>
      </c>
      <c r="N1" s="1" t="s">
        <v>914</v>
      </c>
      <c r="O1" s="1" t="s">
        <v>7</v>
      </c>
      <c r="P1" s="1" t="s">
        <v>915</v>
      </c>
      <c r="Q1" s="1" t="s">
        <v>8</v>
      </c>
      <c r="R1" s="1" t="s">
        <v>899</v>
      </c>
      <c r="S1" s="1" t="s">
        <v>9</v>
      </c>
      <c r="T1" s="7" t="s">
        <v>911</v>
      </c>
      <c r="U1" s="1" t="s">
        <v>10</v>
      </c>
      <c r="V1" s="1" t="s">
        <v>900</v>
      </c>
      <c r="W1" s="1" t="s">
        <v>11</v>
      </c>
      <c r="X1" s="1" t="s">
        <v>901</v>
      </c>
      <c r="Y1" s="1" t="s">
        <v>12</v>
      </c>
      <c r="Z1" s="1" t="s">
        <v>902</v>
      </c>
      <c r="AA1" s="1" t="s">
        <v>922</v>
      </c>
      <c r="AB1" s="1" t="s">
        <v>13</v>
      </c>
      <c r="AC1" s="1" t="s">
        <v>903</v>
      </c>
      <c r="AD1" s="1" t="s">
        <v>921</v>
      </c>
      <c r="AE1" s="1" t="s">
        <v>14</v>
      </c>
      <c r="AF1" s="1" t="s">
        <v>904</v>
      </c>
      <c r="AG1" s="1" t="s">
        <v>920</v>
      </c>
      <c r="AH1" s="1" t="s">
        <v>15</v>
      </c>
      <c r="AI1" s="1" t="s">
        <v>905</v>
      </c>
      <c r="AJ1" s="10" t="s">
        <v>16</v>
      </c>
      <c r="AK1" s="1" t="s">
        <v>906</v>
      </c>
      <c r="AL1" s="1" t="s">
        <v>17</v>
      </c>
      <c r="AM1" s="1" t="s">
        <v>907</v>
      </c>
      <c r="AN1" s="1" t="s">
        <v>18</v>
      </c>
      <c r="AO1" s="1" t="s">
        <v>908</v>
      </c>
      <c r="AP1" s="1" t="s">
        <v>918</v>
      </c>
      <c r="AQ1" s="1" t="s">
        <v>919</v>
      </c>
      <c r="AR1" s="1" t="s">
        <v>19</v>
      </c>
      <c r="AS1" s="1" t="s">
        <v>909</v>
      </c>
      <c r="AT1" s="1" t="s">
        <v>20</v>
      </c>
      <c r="AU1" s="1" t="s">
        <v>910</v>
      </c>
    </row>
    <row r="2" spans="1:47" ht="18" customHeight="1">
      <c r="A2" t="s">
        <v>21</v>
      </c>
      <c r="B2" t="str">
        <f t="shared" ref="B2:B33" si="0">IF(TRIM(A2)="","",IFERROR("P-"&amp;TEXT(VALUE(SUBSTITUTE(SUBSTITUTE(SUBSTITUTE(UPPER(TRIM(A2)),"PAT",""),"P-",""),"P","")),"0000"),""))</f>
        <v>P-0001</v>
      </c>
      <c r="C2" t="s">
        <v>22</v>
      </c>
      <c r="D2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Abena</v>
      </c>
      <c r="E2" t="s">
        <v>23</v>
      </c>
      <c r="F2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Adebayo</v>
      </c>
      <c r="G2" t="s">
        <v>24</v>
      </c>
      <c r="H2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2" t="s">
        <v>25</v>
      </c>
      <c r="J2" t="str">
        <f t="shared" ref="J2:J33" si="1">IF(OR(LOWER(TRIM(I2))="f",LOWER(TRIM(I2))="femal",LOWER(TRIM(I2))="female"),"Female",IF(OR(LOWER(TRIM(I2))="m",LOWER(TRIM(I2))="mal",LOWER(TRIM(I2))="male"),"Male",IF(LOWER(TRIM(I2))="other","Other","")))</f>
        <v>Other</v>
      </c>
      <c r="L2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2" t="s">
        <v>26</v>
      </c>
      <c r="N2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+233243283286</v>
      </c>
      <c r="O2" t="s">
        <v>27</v>
      </c>
      <c r="P2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2" t="s">
        <v>28</v>
      </c>
      <c r="R2" t="str">
        <f t="shared" ref="R2:R33" si="2">IF(TRIM(Q2)="","",TRIM(Q2))</f>
        <v>Ibadan</v>
      </c>
      <c r="S2" t="s">
        <v>29</v>
      </c>
      <c r="T2" s="8">
        <f>IF(S2="","",IF(ISNUMBER(S2),S2,IF(AND(LEN(S2)=10,MID(S2,5,1)="-"),IFERROR(DATE(VALUE(LEFT(S2,4)),VALUE(MID(S2,6,2)),VALUE(RIGHT(S2,2))),"Invalid Date"),IF(AND(LEN(S2)=10,MID(S2,3,1)="/"),IFERROR(DATE(VALUE(RIGHT(S2,4)),VALUE(MID(S2,4,2)),VALUE(LEFT(S2,2))),"Invalid Date"),IF(AND(LEN(S2)=10,MID(S2,5,1)="/"),"Invalid Date",IFERROR(DATE(VALUE(RIGHT(S2,4)),MATCH(LEFT(S2,3),{"Jan","Feb","Mar","Apr","May","Jun","Jul","Aug","Sep","Oct","Nov","Dec"},0),VALUE(MID(S2,5,FIND(",",S2)-5))),"Invalid Date"))))))</f>
        <v>46031</v>
      </c>
      <c r="U2" t="s">
        <v>30</v>
      </c>
      <c r="V2" t="str">
        <f t="shared" ref="V2:V33" si="3">IF(TRIM(U2)="","",IF(OR(LOWER(TRIM(U2))="consult",LOWER(TRIM(U2))="consultation"),"Consultation",IF(OR(LOWER(TRIM(U2))="follow up",LOWER(TRIM(U2))="follow-up"),"Follow-up",PROPER(TRIM(U2)))))</f>
        <v>Vaccination</v>
      </c>
      <c r="W2" t="s">
        <v>31</v>
      </c>
      <c r="X2" t="str">
        <f t="shared" ref="X2:X33" si="4">IF(TRIM(W2)="","",IF(UPPER(TRIM(W2))="COVID-19","COVID-19",PROPER(TRIM(W2))))</f>
        <v>Malaria</v>
      </c>
      <c r="Y2" t="s">
        <v>32</v>
      </c>
      <c r="Z2" t="str">
        <f t="shared" ref="Z2:Z33" si="5">IF(TRIM(Y2)="","",IF(LOWER(TRIM(Y2))="high","",IF(ISNUMBER(SEARCH("/",TRIM(Y2))),TRIM(Y2),IF(ISNUMBER(SEARCH("-",TRIM(Y2))),SUBSTITUTE(TRIM(Y2),"-","/"),""))))</f>
        <v/>
      </c>
      <c r="AA2" t="str">
        <f t="shared" ref="AA2:AA33" si="6">IF(Z2="","Missing",IFERROR(IF(AND(VALUE(LEFT(Z2,FIND("/",Z2)-1))&gt;=70,VALUE(LEFT(Z2,FIND("/",Z2)-1))&lt;=250,VALUE(MID(Z2,FIND("/",Z2)+1,99))&gt;=40,VALUE(MID(Z2,FIND("/",Z2)+1,99))&lt;=150),"Valid","Invalid Blood Pressure"),"Invalid Blood Pressure"))</f>
        <v>Missing</v>
      </c>
      <c r="AB2" t="s">
        <v>33</v>
      </c>
      <c r="AC2" s="6" t="str">
        <f t="shared" ref="AC2:AC65" si="7">IF(OR(AB2="",LOWER(TRIM(AB2&amp;""))="normal"),"",IFERROR(IF(VALUE(AB2)&gt;60,(VALUE(AB2)-32)*5/9,VALUE(AB2)),""))</f>
        <v/>
      </c>
      <c r="AD2" s="6" t="str">
        <f t="shared" ref="AD2:AD33" si="8">IF(AB2="","Missing",IF(LOWER(TRIM(AB2&amp;""))="normal","Missing",IFERROR(IF(VALUE(AB2)&gt;=90,"Fahrenheit Converted","Valid"),"Invalid Temperature")))</f>
        <v>Missing</v>
      </c>
      <c r="AE2" t="s">
        <v>34</v>
      </c>
      <c r="AF2">
        <f t="shared" ref="AF2:AF33" si="9">IF(TRIM(AE2)="","",IF(LOWER(TRIM(AE2))="eighty",80,IFERROR(IF(AND(VALUE(AE2)&gt;=30,VALUE(AE2)&lt;=250),VALUE(AE2),""),"")))</f>
        <v>97.7</v>
      </c>
      <c r="AG2" t="str">
        <f t="shared" ref="AG2:AG33" si="10">IF(AF2="","Missing",IF(AF2&lt;=0,"Invalid Weight",IF(AF2&gt;250,"Implausible Weight","Valid")))</f>
        <v>Valid</v>
      </c>
      <c r="AH2" t="s">
        <v>35</v>
      </c>
      <c r="AI2" t="str">
        <f t="shared" ref="AI2:AI33" si="11">IF(OR(TRIM(AH2)="",UPPER(TRIM(AH2))="N/A"),"",IF(UPPER(TRIM(AH2))="NHIS","NHIS",IF(UPPER(TRIM(AH2))="PRIVATE","Private",IF(UPPER(TRIM(AH2))="CORPORATE","Corporate",IF(LOWER(TRIM(AH2))="nhis","NHIS",IF(UPPER(TRIM(AH2))="NONE","None",""))))))</f>
        <v>Corporate</v>
      </c>
      <c r="AJ2" s="5" t="s">
        <v>36</v>
      </c>
      <c r="AK2">
        <f>IF(TRIM(AJ2)="","",IF(LOWER(TRIM(AJ2))="one hundred",100,IFERROR(IF(VALUE(SUBSTITUTE(UPPER(TRIM(AJ2)),"GHS",""))&lt;0,"",VALUE(SUBSTITUTE(UPPER(TRIM(AJ2)),"GHS",""))),"")))</f>
        <v>74.34</v>
      </c>
      <c r="AL2" t="s">
        <v>37</v>
      </c>
      <c r="AM2">
        <f t="shared" ref="AM2:AM33" si="12">IF(TRIM(AL2)="","",IF(LOWER(TRIM(AL2))="one hundred",100,IFERROR(IF(VALUE(AL2)&lt;0,"",VALUE(AL2)),"")))</f>
        <v>100</v>
      </c>
      <c r="AN2" t="s">
        <v>38</v>
      </c>
      <c r="AO2" t="str">
        <f t="shared" ref="AO2:AO33" si="13">IF(TRIM(AN2)="","",PROPER(TRIM(AN2)))</f>
        <v>Partially Paid</v>
      </c>
      <c r="AP2">
        <f>IF(OR(MessyClinicPatients[[#This Row],[Clean Total Bill]]="",MessyClinicPatients[[#This Row],[Clean Amount Paid]]=""),"",MessyClinicPatients[[#This Row],[Clean Total Bill]]-MessyClinicPatients[[#This Row],[Clean Amount Paid]])</f>
        <v>-25.659999999999997</v>
      </c>
      <c r="AQ2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2" t="s">
        <v>39</v>
      </c>
      <c r="AS2" t="str">
        <f t="shared" ref="AS2:AS33" si="14">IF(TRIM(AR2)="","",IF(ISNUMBER(SEARCH("NURSE",UPPER(TRIM(AR2)))),"Nurse "&amp;PROPER(TRIM(SUBSTITUTE(UPPER(TRIM(AR2)),"NURSE",""))),"Dr. "&amp;PROPER(TRIM(SUBSTITUTE(SUBSTITUTE(UPPER(TRIM(AR2)),"DR.",""),"DR","")))))</f>
        <v>Dr. Okoro</v>
      </c>
      <c r="AT2" t="s">
        <v>40</v>
      </c>
      <c r="AU2" t="str">
        <f t="shared" ref="AU2:AU33" si="15">IF(TRIM(AT2)="","",PROPER(TRIM(AT2)))</f>
        <v>Needs Follow-Up</v>
      </c>
    </row>
    <row r="3" spans="1:47" ht="18" customHeight="1">
      <c r="A3" t="s">
        <v>41</v>
      </c>
      <c r="B3" t="str">
        <f t="shared" si="0"/>
        <v>P-0002</v>
      </c>
      <c r="C3" t="s">
        <v>42</v>
      </c>
      <c r="D3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Mary</v>
      </c>
      <c r="E3" t="s">
        <v>43</v>
      </c>
      <c r="F3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Osei</v>
      </c>
      <c r="G3" t="s">
        <v>24</v>
      </c>
      <c r="H3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3" t="s">
        <v>25</v>
      </c>
      <c r="J3" t="str">
        <f t="shared" si="1"/>
        <v>Other</v>
      </c>
      <c r="L3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3" t="s">
        <v>44</v>
      </c>
      <c r="N3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+233247185333</v>
      </c>
      <c r="O3" t="s">
        <v>45</v>
      </c>
      <c r="P3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mary.osei@email.com</v>
      </c>
      <c r="Q3" t="s">
        <v>46</v>
      </c>
      <c r="R3" t="str">
        <f t="shared" si="2"/>
        <v>Tema</v>
      </c>
      <c r="S3" t="s">
        <v>47</v>
      </c>
      <c r="T3" s="8">
        <f>IF(S3="","",IF(ISNUMBER(S3),S3,IF(AND(LEN(S3)=10,MID(S3,5,1)="-"),IFERROR(DATE(VALUE(LEFT(S3,4)),VALUE(MID(S3,6,2)),VALUE(RIGHT(S3,2))),"Invalid Date"),IF(AND(LEN(S3)=10,MID(S3,3,1)="/"),IFERROR(DATE(VALUE(RIGHT(S3,4)),VALUE(MID(S3,4,2)),VALUE(LEFT(S3,2))),"Invalid Date"),IF(AND(LEN(S3)=10,MID(S3,5,1)="/"),"Invalid Date",IFERROR(DATE(VALUE(RIGHT(S3,4)),MATCH(LEFT(S3,3),{"Jan","Feb","Mar","Apr","May","Jun","Jul","Aug","Sep","Oct","Nov","Dec"},0),VALUE(MID(S3,5,FIND(",",S3)-5))),"Invalid Date"))))))</f>
        <v>46164</v>
      </c>
      <c r="U3" t="s">
        <v>48</v>
      </c>
      <c r="V3" t="str">
        <f t="shared" si="3"/>
        <v>Routine Checkup</v>
      </c>
      <c r="W3" t="s">
        <v>49</v>
      </c>
      <c r="X3" t="str">
        <f t="shared" si="4"/>
        <v>None</v>
      </c>
      <c r="Y3" t="s">
        <v>50</v>
      </c>
      <c r="Z3" t="str">
        <f t="shared" si="5"/>
        <v>168/72</v>
      </c>
      <c r="AA3" t="str">
        <f t="shared" si="6"/>
        <v>Valid</v>
      </c>
      <c r="AB3" t="s">
        <v>33</v>
      </c>
      <c r="AC3" s="6" t="str">
        <f t="shared" si="7"/>
        <v/>
      </c>
      <c r="AD3" s="6" t="str">
        <f t="shared" si="8"/>
        <v>Missing</v>
      </c>
      <c r="AF3" t="str">
        <f t="shared" si="9"/>
        <v/>
      </c>
      <c r="AG3" t="str">
        <f t="shared" si="10"/>
        <v>Missing</v>
      </c>
      <c r="AH3" t="s">
        <v>51</v>
      </c>
      <c r="AI3" t="str">
        <f t="shared" si="11"/>
        <v>Private</v>
      </c>
      <c r="AJ3" s="5" t="s">
        <v>52</v>
      </c>
      <c r="AK3">
        <f>IF(TRIM(AJ3)="","",IF(LOWER(TRIM(AJ3))="one hundred",100,IFERROR(IF(VALUE(SUBSTITUTE(UPPER(TRIM(AJ3)),"GHS",""))&lt;0,"",VALUE(SUBSTITUTE(UPPER(TRIM(AJ3)),"GHS",""))),"")))</f>
        <v>501.05</v>
      </c>
      <c r="AL3" t="s">
        <v>53</v>
      </c>
      <c r="AM3">
        <f t="shared" si="12"/>
        <v>0</v>
      </c>
      <c r="AN3" t="s">
        <v>38</v>
      </c>
      <c r="AO3" t="str">
        <f t="shared" si="13"/>
        <v>Partially Paid</v>
      </c>
      <c r="AP3">
        <f>IF(OR(MessyClinicPatients[[#This Row],[Clean Total Bill]]="",MessyClinicPatients[[#This Row],[Clean Amount Paid]]=""),"",MessyClinicPatients[[#This Row],[Clean Total Bill]]-MessyClinicPatients[[#This Row],[Clean Amount Paid]])</f>
        <v>501.05</v>
      </c>
      <c r="AQ3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R3" t="s">
        <v>54</v>
      </c>
      <c r="AS3" t="str">
        <f t="shared" si="14"/>
        <v>Dr. Lee</v>
      </c>
      <c r="AU3" t="str">
        <f t="shared" si="15"/>
        <v/>
      </c>
    </row>
    <row r="4" spans="1:47" ht="18" customHeight="1">
      <c r="A4" t="s">
        <v>55</v>
      </c>
      <c r="B4" t="str">
        <f t="shared" si="0"/>
        <v>P-0003</v>
      </c>
      <c r="C4" t="s">
        <v>56</v>
      </c>
      <c r="D4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Ibrahim</v>
      </c>
      <c r="E4" t="s">
        <v>57</v>
      </c>
      <c r="F4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Ali</v>
      </c>
      <c r="G4" s="9">
        <v>88</v>
      </c>
      <c r="H4" t="str">
        <f>IF(OR(MessyClinicPatients[[#This Row],[Age]]="",MessyClinicPatients[[#This Row],[Age]]="unknown"),"Missing",IF(OR(MessyClinicPatients[[#This Row],[Age]]&lt;0,MessyClinicPatients[[#This Row],[Age]]&gt;120),"Invalid Age","Valid"))</f>
        <v>Valid</v>
      </c>
      <c r="I4" t="s">
        <v>59</v>
      </c>
      <c r="J4" t="str">
        <f t="shared" si="1"/>
        <v>Female</v>
      </c>
      <c r="K4" t="s">
        <v>60</v>
      </c>
      <c r="L4" s="8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14147</v>
      </c>
      <c r="M4" t="s">
        <v>61</v>
      </c>
      <c r="N4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Invalid Phone</v>
      </c>
      <c r="O4" t="s">
        <v>62</v>
      </c>
      <c r="P4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ibrahim.ali@email.com</v>
      </c>
      <c r="Q4" t="s">
        <v>63</v>
      </c>
      <c r="R4" t="str">
        <f t="shared" si="2"/>
        <v>Tamale</v>
      </c>
      <c r="S4" t="s">
        <v>64</v>
      </c>
      <c r="T4" s="8">
        <f>IF(S4="","",IF(ISNUMBER(S4),S4,IF(AND(LEN(S4)=10,MID(S4,5,1)="-"),IFERROR(DATE(VALUE(LEFT(S4,4)),VALUE(MID(S4,6,2)),VALUE(RIGHT(S4,2))),"Invalid Date"),IF(AND(LEN(S4)=10,MID(S4,3,1)="/"),IFERROR(DATE(VALUE(RIGHT(S4,4)),VALUE(MID(S4,4,2)),VALUE(LEFT(S4,2))),"Invalid Date"),IF(AND(LEN(S4)=10,MID(S4,5,1)="/"),"Invalid Date",IFERROR(DATE(VALUE(RIGHT(S4,4)),MATCH(LEFT(S4,3),{"Jan","Feb","Mar","Apr","May","Jun","Jul","Aug","Sep","Oct","Nov","Dec"},0),VALUE(MID(S4,5,FIND(",",S4)-5))),"Invalid Date"))))))</f>
        <v>46081</v>
      </c>
      <c r="U4" t="s">
        <v>30</v>
      </c>
      <c r="V4" t="str">
        <f t="shared" si="3"/>
        <v>Vaccination</v>
      </c>
      <c r="W4" t="s">
        <v>65</v>
      </c>
      <c r="X4" t="str">
        <f t="shared" si="4"/>
        <v>Hypertension</v>
      </c>
      <c r="Z4" t="str">
        <f t="shared" si="5"/>
        <v/>
      </c>
      <c r="AA4" t="str">
        <f t="shared" si="6"/>
        <v>Missing</v>
      </c>
      <c r="AB4" t="s">
        <v>66</v>
      </c>
      <c r="AC4" s="6">
        <f t="shared" si="7"/>
        <v>37.5</v>
      </c>
      <c r="AD4" s="6" t="str">
        <f t="shared" si="8"/>
        <v>Fahrenheit Converted</v>
      </c>
      <c r="AF4" t="str">
        <f t="shared" si="9"/>
        <v/>
      </c>
      <c r="AG4" t="str">
        <f t="shared" si="10"/>
        <v>Missing</v>
      </c>
      <c r="AI4" t="str">
        <f t="shared" si="11"/>
        <v/>
      </c>
      <c r="AJ4" s="5" t="s">
        <v>67</v>
      </c>
      <c r="AK4">
        <f>IF(TRIM(AJ4)="","",IF(LOWER(TRIM(AJ4))="one hundred",100,IFERROR(IF(VALUE(SUBSTITUTE(UPPER(TRIM(AJ4)),"GHS",""))&lt;0,"",VALUE(SUBSTITUTE(UPPER(TRIM(AJ4)),"GHS",""))),"")))</f>
        <v>486.93</v>
      </c>
      <c r="AL4" t="s">
        <v>67</v>
      </c>
      <c r="AM4">
        <f t="shared" si="12"/>
        <v>486.93</v>
      </c>
      <c r="AN4" t="s">
        <v>68</v>
      </c>
      <c r="AO4" t="str">
        <f t="shared" si="13"/>
        <v>Paid</v>
      </c>
      <c r="AP4">
        <f>IF(OR(MessyClinicPatients[[#This Row],[Clean Total Bill]]="",MessyClinicPatients[[#This Row],[Clean Amount Paid]]=""),"",MessyClinicPatients[[#This Row],[Clean Total Bill]]-MessyClinicPatients[[#This Row],[Clean Amount Paid]])</f>
        <v>0</v>
      </c>
      <c r="AQ4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4" t="s">
        <v>69</v>
      </c>
      <c r="AS4" t="str">
        <f t="shared" si="14"/>
        <v>Dr. Mensah</v>
      </c>
      <c r="AT4" t="s">
        <v>40</v>
      </c>
      <c r="AU4" t="str">
        <f t="shared" si="15"/>
        <v>Needs Follow-Up</v>
      </c>
    </row>
    <row r="5" spans="1:47" ht="18" customHeight="1">
      <c r="A5" t="s">
        <v>70</v>
      </c>
      <c r="B5" t="str">
        <f t="shared" si="0"/>
        <v>P-0004</v>
      </c>
      <c r="C5" t="s">
        <v>71</v>
      </c>
      <c r="D5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Samuel</v>
      </c>
      <c r="E5" t="s">
        <v>72</v>
      </c>
      <c r="F5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Owusu</v>
      </c>
      <c r="G5" s="9">
        <v>-3</v>
      </c>
      <c r="H5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5" t="s">
        <v>74</v>
      </c>
      <c r="J5" t="str">
        <f t="shared" si="1"/>
        <v>Female</v>
      </c>
      <c r="L5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5" t="s">
        <v>61</v>
      </c>
      <c r="N5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Invalid Phone</v>
      </c>
      <c r="O5" t="s">
        <v>75</v>
      </c>
      <c r="P5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samuel_owusu@clinicmail.org</v>
      </c>
      <c r="Q5" t="s">
        <v>76</v>
      </c>
      <c r="R5" t="str">
        <f t="shared" si="2"/>
        <v>Cape Coast</v>
      </c>
      <c r="T5" s="8" t="str">
        <f>IF(S5="","",IF(ISNUMBER(S5),S5,IF(AND(LEN(S5)=10,MID(S5,5,1)="-"),IFERROR(DATE(VALUE(LEFT(S5,4)),VALUE(MID(S5,6,2)),VALUE(RIGHT(S5,2))),"Invalid Date"),IF(AND(LEN(S5)=10,MID(S5,3,1)="/"),IFERROR(DATE(VALUE(RIGHT(S5,4)),VALUE(MID(S5,4,2)),VALUE(LEFT(S5,2))),"Invalid Date"),IF(AND(LEN(S5)=10,MID(S5,5,1)="/"),"Invalid Date",IFERROR(DATE(VALUE(RIGHT(S5,4)),MATCH(LEFT(S5,3),{"Jan","Feb","Mar","Apr","May","Jun","Jul","Aug","Sep","Oct","Nov","Dec"},0),VALUE(MID(S5,5,FIND(",",S5)-5))),"Invalid Date"))))))</f>
        <v/>
      </c>
      <c r="U5" t="s">
        <v>77</v>
      </c>
      <c r="V5" t="str">
        <f t="shared" si="3"/>
        <v>Emergency</v>
      </c>
      <c r="W5" t="s">
        <v>78</v>
      </c>
      <c r="X5" t="str">
        <f t="shared" si="4"/>
        <v>Back Pain</v>
      </c>
      <c r="Y5" t="s">
        <v>79</v>
      </c>
      <c r="Z5" t="str">
        <f t="shared" si="5"/>
        <v>127/95</v>
      </c>
      <c r="AA5" t="str">
        <f t="shared" si="6"/>
        <v>Valid</v>
      </c>
      <c r="AB5" t="s">
        <v>33</v>
      </c>
      <c r="AC5" s="6" t="str">
        <f t="shared" si="7"/>
        <v/>
      </c>
      <c r="AD5" s="6" t="str">
        <f t="shared" si="8"/>
        <v>Missing</v>
      </c>
      <c r="AE5" t="s">
        <v>80</v>
      </c>
      <c r="AF5">
        <f t="shared" si="9"/>
        <v>80</v>
      </c>
      <c r="AG5" t="str">
        <f t="shared" si="10"/>
        <v>Valid</v>
      </c>
      <c r="AH5" t="s">
        <v>81</v>
      </c>
      <c r="AI5" t="str">
        <f t="shared" si="11"/>
        <v>NHIS</v>
      </c>
      <c r="AJ5" s="5" t="s">
        <v>82</v>
      </c>
      <c r="AK5">
        <f>IF(TRIM(AJ5)="","",IF(LOWER(TRIM(AJ5))="one hundred",100,IFERROR(IF(VALUE(SUBSTITUTE(UPPER(TRIM(AJ5)),"GHS",""))&lt;0,"",VALUE(SUBSTITUTE(UPPER(TRIM(AJ5)),"GHS",""))),"")))</f>
        <v>241.34</v>
      </c>
      <c r="AL5" t="s">
        <v>37</v>
      </c>
      <c r="AM5">
        <f t="shared" si="12"/>
        <v>100</v>
      </c>
      <c r="AO5" t="str">
        <f t="shared" si="13"/>
        <v/>
      </c>
      <c r="AP5">
        <f>IF(OR(MessyClinicPatients[[#This Row],[Clean Total Bill]]="",MessyClinicPatients[[#This Row],[Clean Amount Paid]]=""),"",MessyClinicPatients[[#This Row],[Clean Total Bill]]-MessyClinicPatients[[#This Row],[Clean Amount Paid]])</f>
        <v>141.34</v>
      </c>
      <c r="AQ5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5" t="s">
        <v>83</v>
      </c>
      <c r="AS5" t="str">
        <f t="shared" si="14"/>
        <v>Dr. Patel</v>
      </c>
      <c r="AU5" t="str">
        <f t="shared" si="15"/>
        <v/>
      </c>
    </row>
    <row r="6" spans="1:47" ht="18" customHeight="1">
      <c r="A6" t="s">
        <v>84</v>
      </c>
      <c r="B6" t="str">
        <f t="shared" si="0"/>
        <v>P-0005</v>
      </c>
      <c r="C6" t="s">
        <v>85</v>
      </c>
      <c r="D6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Ruth</v>
      </c>
      <c r="E6" t="s">
        <v>86</v>
      </c>
      <c r="F6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Williams</v>
      </c>
      <c r="G6" s="9">
        <v>130</v>
      </c>
      <c r="H6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6" t="s">
        <v>88</v>
      </c>
      <c r="J6" t="str">
        <f t="shared" si="1"/>
        <v>Female</v>
      </c>
      <c r="L6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6" t="s">
        <v>89</v>
      </c>
      <c r="N6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8233033504</v>
      </c>
      <c r="O6" t="s">
        <v>90</v>
      </c>
      <c r="P6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Q6" t="s">
        <v>91</v>
      </c>
      <c r="R6" t="str">
        <f t="shared" si="2"/>
        <v>Lagos</v>
      </c>
      <c r="S6" t="s">
        <v>92</v>
      </c>
      <c r="T6" s="8" t="str">
        <f>IF(S6="","",IF(ISNUMBER(S6),S6,IF(AND(LEN(S6)=10,MID(S6,5,1)="-"),IFERROR(DATE(VALUE(LEFT(S6,4)),VALUE(MID(S6,6,2)),VALUE(RIGHT(S6,2))),"Invalid Date"),IF(AND(LEN(S6)=10,MID(S6,3,1)="/"),IFERROR(DATE(VALUE(RIGHT(S6,4)),VALUE(MID(S6,4,2)),VALUE(LEFT(S6,2))),"Invalid Date"),IF(AND(LEN(S6)=10,MID(S6,5,1)="/"),"Invalid Date",IFERROR(DATE(VALUE(RIGHT(S6,4)),MATCH(LEFT(S6,3),{"Jan","Feb","Mar","Apr","May","Jun","Jul","Aug","Sep","Oct","Nov","Dec"},0),VALUE(MID(S6,5,FIND(",",S6)-5))),"Invalid Date"))))))</f>
        <v>Invalid Date</v>
      </c>
      <c r="U6" t="s">
        <v>48</v>
      </c>
      <c r="V6" t="str">
        <f t="shared" si="3"/>
        <v>Routine Checkup</v>
      </c>
      <c r="X6" t="str">
        <f t="shared" si="4"/>
        <v/>
      </c>
      <c r="Z6" t="str">
        <f t="shared" si="5"/>
        <v/>
      </c>
      <c r="AA6" t="str">
        <f t="shared" si="6"/>
        <v>Missing</v>
      </c>
      <c r="AB6" t="s">
        <v>33</v>
      </c>
      <c r="AC6" s="6" t="str">
        <f t="shared" si="7"/>
        <v/>
      </c>
      <c r="AD6" s="6" t="str">
        <f t="shared" si="8"/>
        <v>Missing</v>
      </c>
      <c r="AF6" t="str">
        <f t="shared" si="9"/>
        <v/>
      </c>
      <c r="AG6" t="str">
        <f t="shared" si="10"/>
        <v>Missing</v>
      </c>
      <c r="AH6" t="s">
        <v>93</v>
      </c>
      <c r="AI6" t="str">
        <f t="shared" si="11"/>
        <v>Private</v>
      </c>
      <c r="AJ6" s="5" t="s">
        <v>94</v>
      </c>
      <c r="AK6">
        <f>IF(TRIM(AJ6)="","",IF(LOWER(TRIM(AJ6))="one hundred",100,IFERROR(IF(VALUE(SUBSTITUTE(UPPER(TRIM(AJ6)),"GHS",""))&lt;0,"",VALUE(SUBSTITUTE(UPPER(TRIM(AJ6)),"GHS",""))),"")))</f>
        <v>552.73</v>
      </c>
      <c r="AM6" t="str">
        <f t="shared" si="12"/>
        <v/>
      </c>
      <c r="AN6" t="s">
        <v>95</v>
      </c>
      <c r="AO6" t="str">
        <f t="shared" si="13"/>
        <v>Pending</v>
      </c>
      <c r="AP6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6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Pending</v>
      </c>
      <c r="AR6" t="s">
        <v>96</v>
      </c>
      <c r="AS6" t="str">
        <f t="shared" si="14"/>
        <v>Nurse Amina</v>
      </c>
      <c r="AT6" t="s">
        <v>97</v>
      </c>
      <c r="AU6" t="str">
        <f t="shared" si="15"/>
        <v>Patient Came Late</v>
      </c>
    </row>
    <row r="7" spans="1:47" ht="18" customHeight="1">
      <c r="A7" t="s">
        <v>98</v>
      </c>
      <c r="B7" t="str">
        <f t="shared" si="0"/>
        <v>P-0006</v>
      </c>
      <c r="C7" t="s">
        <v>99</v>
      </c>
      <c r="D7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Fatima</v>
      </c>
      <c r="E7" t="s">
        <v>100</v>
      </c>
      <c r="F7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Diallo</v>
      </c>
      <c r="G7" s="9">
        <v>130</v>
      </c>
      <c r="H7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7" t="s">
        <v>88</v>
      </c>
      <c r="J7" t="str">
        <f t="shared" si="1"/>
        <v>Female</v>
      </c>
      <c r="L7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7" t="s">
        <v>61</v>
      </c>
      <c r="N7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Invalid Phone</v>
      </c>
      <c r="O7" t="s">
        <v>27</v>
      </c>
      <c r="P7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7" t="s">
        <v>101</v>
      </c>
      <c r="R7" t="str">
        <f t="shared" si="2"/>
        <v>Accra</v>
      </c>
      <c r="T7" s="8" t="str">
        <f>IF(S7="","",IF(ISNUMBER(S7),S7,IF(AND(LEN(S7)=10,MID(S7,5,1)="-"),IFERROR(DATE(VALUE(LEFT(S7,4)),VALUE(MID(S7,6,2)),VALUE(RIGHT(S7,2))),"Invalid Date"),IF(AND(LEN(S7)=10,MID(S7,3,1)="/"),IFERROR(DATE(VALUE(RIGHT(S7,4)),VALUE(MID(S7,4,2)),VALUE(LEFT(S7,2))),"Invalid Date"),IF(AND(LEN(S7)=10,MID(S7,5,1)="/"),"Invalid Date",IFERROR(DATE(VALUE(RIGHT(S7,4)),MATCH(LEFT(S7,3),{"Jan","Feb","Mar","Apr","May","Jun","Jul","Aug","Sep","Oct","Nov","Dec"},0),VALUE(MID(S7,5,FIND(",",S7)-5))),"Invalid Date"))))))</f>
        <v/>
      </c>
      <c r="U7" t="s">
        <v>102</v>
      </c>
      <c r="V7" t="str">
        <f t="shared" si="3"/>
        <v>Consultation</v>
      </c>
      <c r="W7" t="s">
        <v>103</v>
      </c>
      <c r="X7" t="str">
        <f t="shared" si="4"/>
        <v>Diabetes</v>
      </c>
      <c r="Y7" t="s">
        <v>104</v>
      </c>
      <c r="Z7" t="str">
        <f t="shared" si="5"/>
        <v>123/64</v>
      </c>
      <c r="AA7" t="str">
        <f t="shared" si="6"/>
        <v>Valid</v>
      </c>
      <c r="AC7" s="6" t="str">
        <f t="shared" si="7"/>
        <v/>
      </c>
      <c r="AD7" s="6" t="str">
        <f t="shared" si="8"/>
        <v>Missing</v>
      </c>
      <c r="AE7" t="s">
        <v>105</v>
      </c>
      <c r="AF7" t="str">
        <f t="shared" si="9"/>
        <v/>
      </c>
      <c r="AG7" t="str">
        <f t="shared" si="10"/>
        <v>Missing</v>
      </c>
      <c r="AH7" t="s">
        <v>35</v>
      </c>
      <c r="AI7" t="str">
        <f t="shared" si="11"/>
        <v>Corporate</v>
      </c>
      <c r="AJ7" s="5" t="s">
        <v>106</v>
      </c>
      <c r="AK7">
        <f>IF(TRIM(AJ7)="","",IF(LOWER(TRIM(AJ7))="one hundred",100,IFERROR(IF(VALUE(SUBSTITUTE(UPPER(TRIM(AJ7)),"GHS",""))&lt;0,"",VALUE(SUBSTITUTE(UPPER(TRIM(AJ7)),"GHS",""))),"")))</f>
        <v>541.78</v>
      </c>
      <c r="AL7" t="s">
        <v>107</v>
      </c>
      <c r="AM7">
        <f t="shared" si="12"/>
        <v>244.61</v>
      </c>
      <c r="AN7" t="s">
        <v>68</v>
      </c>
      <c r="AO7" t="str">
        <f t="shared" si="13"/>
        <v>Paid</v>
      </c>
      <c r="AP7">
        <f>IF(OR(MessyClinicPatients[[#This Row],[Clean Total Bill]]="",MessyClinicPatients[[#This Row],[Clean Amount Paid]]=""),"",MessyClinicPatients[[#This Row],[Clean Total Bill]]-MessyClinicPatients[[#This Row],[Clean Amount Paid]])</f>
        <v>297.16999999999996</v>
      </c>
      <c r="AQ7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7" t="s">
        <v>54</v>
      </c>
      <c r="AS7" t="str">
        <f t="shared" si="14"/>
        <v>Dr. Lee</v>
      </c>
      <c r="AT7" t="s">
        <v>40</v>
      </c>
      <c r="AU7" t="str">
        <f t="shared" si="15"/>
        <v>Needs Follow-Up</v>
      </c>
    </row>
    <row r="8" spans="1:47" ht="18" customHeight="1">
      <c r="A8" t="s">
        <v>108</v>
      </c>
      <c r="B8" t="str">
        <f t="shared" si="0"/>
        <v>P-1007</v>
      </c>
      <c r="C8" t="s">
        <v>109</v>
      </c>
      <c r="D8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David</v>
      </c>
      <c r="E8" t="s">
        <v>72</v>
      </c>
      <c r="F8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Owusu</v>
      </c>
      <c r="G8" s="9">
        <v>130</v>
      </c>
      <c r="H8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J8" t="str">
        <f t="shared" si="1"/>
        <v/>
      </c>
      <c r="L8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8" t="s">
        <v>61</v>
      </c>
      <c r="N8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Invalid Phone</v>
      </c>
      <c r="P8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8" t="s">
        <v>110</v>
      </c>
      <c r="R8" t="str">
        <f t="shared" si="2"/>
        <v>Kumasi</v>
      </c>
      <c r="T8" s="8" t="str">
        <f>IF(S8="","",IF(ISNUMBER(S8),S8,IF(AND(LEN(S8)=10,MID(S8,5,1)="-"),IFERROR(DATE(VALUE(LEFT(S8,4)),VALUE(MID(S8,6,2)),VALUE(RIGHT(S8,2))),"Invalid Date"),IF(AND(LEN(S8)=10,MID(S8,3,1)="/"),IFERROR(DATE(VALUE(RIGHT(S8,4)),VALUE(MID(S8,4,2)),VALUE(LEFT(S8,2))),"Invalid Date"),IF(AND(LEN(S8)=10,MID(S8,5,1)="/"),"Invalid Date",IFERROR(DATE(VALUE(RIGHT(S8,4)),MATCH(LEFT(S8,3),{"Jan","Feb","Mar","Apr","May","Jun","Jul","Aug","Sep","Oct","Nov","Dec"},0),VALUE(MID(S8,5,FIND(",",S8)-5))),"Invalid Date"))))))</f>
        <v/>
      </c>
      <c r="U8" t="s">
        <v>111</v>
      </c>
      <c r="V8" t="str">
        <f t="shared" si="3"/>
        <v>Follow-up</v>
      </c>
      <c r="W8" t="s">
        <v>31</v>
      </c>
      <c r="X8" t="str">
        <f t="shared" si="4"/>
        <v>Malaria</v>
      </c>
      <c r="Y8" t="s">
        <v>112</v>
      </c>
      <c r="Z8" t="str">
        <f t="shared" si="5"/>
        <v>178/101</v>
      </c>
      <c r="AA8" t="str">
        <f t="shared" si="6"/>
        <v>Valid</v>
      </c>
      <c r="AB8" t="s">
        <v>113</v>
      </c>
      <c r="AC8" s="6">
        <f t="shared" si="7"/>
        <v>37.299999999999997</v>
      </c>
      <c r="AD8" s="6" t="str">
        <f t="shared" si="8"/>
        <v>Valid</v>
      </c>
      <c r="AF8" t="str">
        <f t="shared" si="9"/>
        <v/>
      </c>
      <c r="AG8" t="str">
        <f t="shared" si="10"/>
        <v>Missing</v>
      </c>
      <c r="AH8" t="s">
        <v>114</v>
      </c>
      <c r="AI8" t="str">
        <f t="shared" si="11"/>
        <v>NHIS</v>
      </c>
      <c r="AJ8" s="5" t="s">
        <v>115</v>
      </c>
      <c r="AK8">
        <f>IF(TRIM(AJ8)="","",IF(LOWER(TRIM(AJ8))="one hundred",100,IFERROR(IF(VALUE(SUBSTITUTE(UPPER(TRIM(AJ8)),"GHS",""))&lt;0,"",VALUE(SUBSTITUTE(UPPER(TRIM(AJ8)),"GHS",""))),"")))</f>
        <v>290.87</v>
      </c>
      <c r="AL8" t="s">
        <v>116</v>
      </c>
      <c r="AM8" t="str">
        <f t="shared" si="12"/>
        <v/>
      </c>
      <c r="AN8" t="s">
        <v>117</v>
      </c>
      <c r="AO8" t="str">
        <f t="shared" si="13"/>
        <v>Refunded</v>
      </c>
      <c r="AP8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8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Refunded</v>
      </c>
      <c r="AR8" t="s">
        <v>39</v>
      </c>
      <c r="AS8" t="str">
        <f t="shared" si="14"/>
        <v>Dr. Okoro</v>
      </c>
      <c r="AT8" t="s">
        <v>97</v>
      </c>
      <c r="AU8" t="str">
        <f t="shared" si="15"/>
        <v>Patient Came Late</v>
      </c>
    </row>
    <row r="9" spans="1:47" ht="18" customHeight="1">
      <c r="A9" t="s">
        <v>118</v>
      </c>
      <c r="B9" t="str">
        <f t="shared" si="0"/>
        <v>P-0008</v>
      </c>
      <c r="C9" t="s">
        <v>119</v>
      </c>
      <c r="D9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Peter</v>
      </c>
      <c r="E9" t="s">
        <v>120</v>
      </c>
      <c r="F9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Taylor</v>
      </c>
      <c r="G9" s="9">
        <v>13</v>
      </c>
      <c r="H9" t="str">
        <f>IF(OR(MessyClinicPatients[[#This Row],[Age]]="",MessyClinicPatients[[#This Row],[Age]]="unknown"),"Missing",IF(OR(MessyClinicPatients[[#This Row],[Age]]&lt;0,MessyClinicPatients[[#This Row],[Age]]&gt;120),"Invalid Age","Valid"))</f>
        <v>Valid</v>
      </c>
      <c r="I9" t="s">
        <v>59</v>
      </c>
      <c r="J9" t="str">
        <f t="shared" si="1"/>
        <v>Female</v>
      </c>
      <c r="K9" t="s">
        <v>122</v>
      </c>
      <c r="L9" s="8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41330</v>
      </c>
      <c r="M9" t="s">
        <v>123</v>
      </c>
      <c r="N9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+233245168956</v>
      </c>
      <c r="O9" t="s">
        <v>27</v>
      </c>
      <c r="P9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9" t="s">
        <v>101</v>
      </c>
      <c r="R9" t="str">
        <f t="shared" si="2"/>
        <v>Accra</v>
      </c>
      <c r="T9" s="8" t="str">
        <f>IF(S9="","",IF(ISNUMBER(S9),S9,IF(AND(LEN(S9)=10,MID(S9,5,1)="-"),IFERROR(DATE(VALUE(LEFT(S9,4)),VALUE(MID(S9,6,2)),VALUE(RIGHT(S9,2))),"Invalid Date"),IF(AND(LEN(S9)=10,MID(S9,3,1)="/"),IFERROR(DATE(VALUE(RIGHT(S9,4)),VALUE(MID(S9,4,2)),VALUE(LEFT(S9,2))),"Invalid Date"),IF(AND(LEN(S9)=10,MID(S9,5,1)="/"),"Invalid Date",IFERROR(DATE(VALUE(RIGHT(S9,4)),MATCH(LEFT(S9,3),{"Jan","Feb","Mar","Apr","May","Jun","Jul","Aug","Sep","Oct","Nov","Dec"},0),VALUE(MID(S9,5,FIND(",",S9)-5))),"Invalid Date"))))))</f>
        <v/>
      </c>
      <c r="U9" t="s">
        <v>102</v>
      </c>
      <c r="V9" t="str">
        <f t="shared" si="3"/>
        <v>Consultation</v>
      </c>
      <c r="W9" t="s">
        <v>124</v>
      </c>
      <c r="X9" t="str">
        <f t="shared" si="4"/>
        <v>Hypertension</v>
      </c>
      <c r="Y9" t="s">
        <v>125</v>
      </c>
      <c r="Z9" t="str">
        <f t="shared" si="5"/>
        <v/>
      </c>
      <c r="AA9" t="str">
        <f t="shared" si="6"/>
        <v>Missing</v>
      </c>
      <c r="AC9" s="6" t="str">
        <f t="shared" si="7"/>
        <v/>
      </c>
      <c r="AD9" s="6" t="str">
        <f t="shared" si="8"/>
        <v>Missing</v>
      </c>
      <c r="AE9" t="s">
        <v>126</v>
      </c>
      <c r="AF9">
        <f t="shared" si="9"/>
        <v>37.700000000000003</v>
      </c>
      <c r="AG9" t="str">
        <f t="shared" si="10"/>
        <v>Valid</v>
      </c>
      <c r="AH9" t="s">
        <v>81</v>
      </c>
      <c r="AI9" t="str">
        <f t="shared" si="11"/>
        <v>NHIS</v>
      </c>
      <c r="AJ9" s="5" t="s">
        <v>127</v>
      </c>
      <c r="AK9">
        <f>IF(TRIM(AJ9)="","",IF(LOWER(TRIM(AJ9))="one hundred",100,IFERROR(IF(VALUE(SUBSTITUTE(UPPER(TRIM(AJ9)),"GHS",""))&lt;0,"",VALUE(SUBSTITUTE(UPPER(TRIM(AJ9)),"GHS",""))),"")))</f>
        <v>173.82</v>
      </c>
      <c r="AM9" t="str">
        <f t="shared" si="12"/>
        <v/>
      </c>
      <c r="AN9" t="s">
        <v>95</v>
      </c>
      <c r="AO9" t="str">
        <f t="shared" si="13"/>
        <v>Pending</v>
      </c>
      <c r="AP9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9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Pending</v>
      </c>
      <c r="AR9" t="s">
        <v>96</v>
      </c>
      <c r="AS9" t="str">
        <f t="shared" si="14"/>
        <v>Nurse Amina</v>
      </c>
      <c r="AT9" t="s">
        <v>97</v>
      </c>
      <c r="AU9" t="str">
        <f t="shared" si="15"/>
        <v>Patient Came Late</v>
      </c>
    </row>
    <row r="10" spans="1:47" ht="18" customHeight="1">
      <c r="A10" t="s">
        <v>128</v>
      </c>
      <c r="B10" t="str">
        <f t="shared" si="0"/>
        <v>P-0009</v>
      </c>
      <c r="C10" t="s">
        <v>129</v>
      </c>
      <c r="D10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Kwame</v>
      </c>
      <c r="E10" t="s">
        <v>130</v>
      </c>
      <c r="F10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Mbeki</v>
      </c>
      <c r="H10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J10" t="str">
        <f t="shared" si="1"/>
        <v/>
      </c>
      <c r="L10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N10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10" t="s">
        <v>131</v>
      </c>
      <c r="P10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kwame.mbeki@email.com</v>
      </c>
      <c r="Q10" t="s">
        <v>132</v>
      </c>
      <c r="R10" t="str">
        <f t="shared" si="2"/>
        <v>Kano</v>
      </c>
      <c r="S10" t="s">
        <v>133</v>
      </c>
      <c r="T10" s="8">
        <f>IF(S10="","",IF(ISNUMBER(S10),S10,IF(AND(LEN(S10)=10,MID(S10,5,1)="-"),IFERROR(DATE(VALUE(LEFT(S10,4)),VALUE(MID(S10,6,2)),VALUE(RIGHT(S10,2))),"Invalid Date"),IF(AND(LEN(S10)=10,MID(S10,3,1)="/"),IFERROR(DATE(VALUE(RIGHT(S10,4)),VALUE(MID(S10,4,2)),VALUE(LEFT(S10,2))),"Invalid Date"),IF(AND(LEN(S10)=10,MID(S10,5,1)="/"),"Invalid Date",IFERROR(DATE(VALUE(RIGHT(S10,4)),MATCH(LEFT(S10,3),{"Jan","Feb","Mar","Apr","May","Jun","Jul","Aug","Sep","Oct","Nov","Dec"},0),VALUE(MID(S10,5,FIND(",",S10)-5))),"Invalid Date"))))))</f>
        <v>46181</v>
      </c>
      <c r="U10" t="s">
        <v>134</v>
      </c>
      <c r="V10" t="str">
        <f t="shared" si="3"/>
        <v>Follow-up</v>
      </c>
      <c r="W10" t="s">
        <v>103</v>
      </c>
      <c r="X10" t="str">
        <f t="shared" si="4"/>
        <v>Diabetes</v>
      </c>
      <c r="Z10" t="str">
        <f t="shared" si="5"/>
        <v/>
      </c>
      <c r="AA10" t="str">
        <f t="shared" si="6"/>
        <v>Missing</v>
      </c>
      <c r="AB10" t="s">
        <v>33</v>
      </c>
      <c r="AC10" s="6" t="str">
        <f t="shared" si="7"/>
        <v/>
      </c>
      <c r="AD10" s="6" t="str">
        <f t="shared" si="8"/>
        <v>Missing</v>
      </c>
      <c r="AE10" t="s">
        <v>135</v>
      </c>
      <c r="AF10">
        <f t="shared" si="9"/>
        <v>56.5</v>
      </c>
      <c r="AG10" t="str">
        <f t="shared" si="10"/>
        <v>Valid</v>
      </c>
      <c r="AH10" t="s">
        <v>35</v>
      </c>
      <c r="AI10" t="str">
        <f t="shared" si="11"/>
        <v>Corporate</v>
      </c>
      <c r="AJ10" s="5" t="s">
        <v>136</v>
      </c>
      <c r="AK10">
        <f>IF(TRIM(AJ10)="","",IF(LOWER(TRIM(AJ10))="one hundred",100,IFERROR(IF(VALUE(SUBSTITUTE(UPPER(TRIM(AJ10)),"GHS",""))&lt;0,"",VALUE(SUBSTITUTE(UPPER(TRIM(AJ10)),"GHS",""))),"")))</f>
        <v>263.14999999999998</v>
      </c>
      <c r="AL10" t="s">
        <v>37</v>
      </c>
      <c r="AM10">
        <f t="shared" si="12"/>
        <v>100</v>
      </c>
      <c r="AN10" t="s">
        <v>137</v>
      </c>
      <c r="AO10" t="str">
        <f t="shared" si="13"/>
        <v>Unpaid</v>
      </c>
      <c r="AP10">
        <f>IF(OR(MessyClinicPatients[[#This Row],[Clean Total Bill]]="",MessyClinicPatients[[#This Row],[Clean Amount Paid]]=""),"",MessyClinicPatients[[#This Row],[Clean Total Bill]]-MessyClinicPatients[[#This Row],[Clean Amount Paid]])</f>
        <v>163.14999999999998</v>
      </c>
      <c r="AQ10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10" t="s">
        <v>69</v>
      </c>
      <c r="AS10" t="str">
        <f t="shared" si="14"/>
        <v>Dr. Mensah</v>
      </c>
      <c r="AU10" t="str">
        <f t="shared" si="15"/>
        <v/>
      </c>
    </row>
    <row r="11" spans="1:47" ht="18" customHeight="1">
      <c r="A11" t="s">
        <v>138</v>
      </c>
      <c r="B11" t="str">
        <f t="shared" si="0"/>
        <v>P-0010</v>
      </c>
      <c r="C11" t="s">
        <v>139</v>
      </c>
      <c r="D11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Clara</v>
      </c>
      <c r="E11" t="s">
        <v>140</v>
      </c>
      <c r="F11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Smith</v>
      </c>
      <c r="G11" t="s">
        <v>24</v>
      </c>
      <c r="H11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J11" t="str">
        <f t="shared" si="1"/>
        <v/>
      </c>
      <c r="L11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1" t="s">
        <v>141</v>
      </c>
      <c r="N11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+233242618179</v>
      </c>
      <c r="O11" t="s">
        <v>142</v>
      </c>
      <c r="P11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clara_smith@clinicmail.org</v>
      </c>
      <c r="Q11" t="s">
        <v>46</v>
      </c>
      <c r="R11" t="str">
        <f t="shared" si="2"/>
        <v>Tema</v>
      </c>
      <c r="S11" t="s">
        <v>143</v>
      </c>
      <c r="T11" s="8">
        <f>IF(S11="","",IF(ISNUMBER(S11),S11,IF(AND(LEN(S11)=10,MID(S11,5,1)="-"),IFERROR(DATE(VALUE(LEFT(S11,4)),VALUE(MID(S11,6,2)),VALUE(RIGHT(S11,2))),"Invalid Date"),IF(AND(LEN(S11)=10,MID(S11,3,1)="/"),IFERROR(DATE(VALUE(RIGHT(S11,4)),VALUE(MID(S11,4,2)),VALUE(LEFT(S11,2))),"Invalid Date"),IF(AND(LEN(S11)=10,MID(S11,5,1)="/"),"Invalid Date",IFERROR(DATE(VALUE(RIGHT(S11,4)),MATCH(LEFT(S11,3),{"Jan","Feb","Mar","Apr","May","Jun","Jul","Aug","Sep","Oct","Nov","Dec"},0),VALUE(MID(S11,5,FIND(",",S11)-5))),"Invalid Date"))))))</f>
        <v>46099</v>
      </c>
      <c r="U11" t="s">
        <v>144</v>
      </c>
      <c r="V11" t="str">
        <f t="shared" si="3"/>
        <v>Consultation</v>
      </c>
      <c r="W11" t="s">
        <v>103</v>
      </c>
      <c r="X11" t="str">
        <f t="shared" si="4"/>
        <v>Diabetes</v>
      </c>
      <c r="Y11" t="s">
        <v>145</v>
      </c>
      <c r="Z11" t="str">
        <f t="shared" si="5"/>
        <v>120/80</v>
      </c>
      <c r="AA11" t="str">
        <f t="shared" si="6"/>
        <v>Valid</v>
      </c>
      <c r="AB11" t="s">
        <v>33</v>
      </c>
      <c r="AC11" s="6" t="str">
        <f t="shared" si="7"/>
        <v/>
      </c>
      <c r="AD11" s="6" t="str">
        <f t="shared" si="8"/>
        <v>Missing</v>
      </c>
      <c r="AE11" t="s">
        <v>80</v>
      </c>
      <c r="AF11">
        <f t="shared" si="9"/>
        <v>80</v>
      </c>
      <c r="AG11" t="str">
        <f t="shared" si="10"/>
        <v>Valid</v>
      </c>
      <c r="AI11" t="str">
        <f t="shared" si="11"/>
        <v/>
      </c>
      <c r="AJ11" s="5" t="s">
        <v>146</v>
      </c>
      <c r="AK11">
        <f>IF(TRIM(AJ11)="","",IF(LOWER(TRIM(AJ11))="one hundred",100,IFERROR(IF(VALUE(SUBSTITUTE(UPPER(TRIM(AJ11)),"GHS",""))&lt;0,"",VALUE(SUBSTITUTE(UPPER(TRIM(AJ11)),"GHS",""))),"")))</f>
        <v>564.58000000000004</v>
      </c>
      <c r="AL11" t="s">
        <v>146</v>
      </c>
      <c r="AM11">
        <f t="shared" si="12"/>
        <v>564.58000000000004</v>
      </c>
      <c r="AN11" t="s">
        <v>147</v>
      </c>
      <c r="AO11" t="str">
        <f t="shared" si="13"/>
        <v>Paid</v>
      </c>
      <c r="AP11">
        <f>IF(OR(MessyClinicPatients[[#This Row],[Clean Total Bill]]="",MessyClinicPatients[[#This Row],[Clean Amount Paid]]=""),"",MessyClinicPatients[[#This Row],[Clean Total Bill]]-MessyClinicPatients[[#This Row],[Clean Amount Paid]])</f>
        <v>0</v>
      </c>
      <c r="AQ11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11" t="s">
        <v>148</v>
      </c>
      <c r="AS11" t="str">
        <f t="shared" si="14"/>
        <v>Dr. Mensah</v>
      </c>
      <c r="AT11" t="s">
        <v>97</v>
      </c>
      <c r="AU11" t="str">
        <f t="shared" si="15"/>
        <v>Patient Came Late</v>
      </c>
    </row>
    <row r="12" spans="1:47" ht="18" customHeight="1">
      <c r="A12" t="s">
        <v>149</v>
      </c>
      <c r="B12" t="str">
        <f t="shared" si="0"/>
        <v>P-0011</v>
      </c>
      <c r="C12" t="s">
        <v>150</v>
      </c>
      <c r="D12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Joseph</v>
      </c>
      <c r="F12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Williams</v>
      </c>
      <c r="G12" t="s">
        <v>24</v>
      </c>
      <c r="H12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12" t="s">
        <v>151</v>
      </c>
      <c r="J12" t="str">
        <f t="shared" si="1"/>
        <v>Male</v>
      </c>
      <c r="L12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2" t="s">
        <v>152</v>
      </c>
      <c r="N12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+233248598239</v>
      </c>
      <c r="O12" t="s">
        <v>153</v>
      </c>
      <c r="P12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R12" t="str">
        <f t="shared" si="2"/>
        <v/>
      </c>
      <c r="S12" t="s">
        <v>154</v>
      </c>
      <c r="T12" s="8">
        <f>IF(S12="","",IF(ISNUMBER(S12),S12,IF(AND(LEN(S12)=10,MID(S12,5,1)="-"),IFERROR(DATE(VALUE(LEFT(S12,4)),VALUE(MID(S12,6,2)),VALUE(RIGHT(S12,2))),"Invalid Date"),IF(AND(LEN(S12)=10,MID(S12,3,1)="/"),IFERROR(DATE(VALUE(RIGHT(S12,4)),VALUE(MID(S12,4,2)),VALUE(LEFT(S12,2))),"Invalid Date"),IF(AND(LEN(S12)=10,MID(S12,5,1)="/"),"Invalid Date",IFERROR(DATE(VALUE(RIGHT(S12,4)),MATCH(LEFT(S12,3),{"Jan","Feb","Mar","Apr","May","Jun","Jul","Aug","Sep","Oct","Nov","Dec"},0),VALUE(MID(S12,5,FIND(",",S12)-5))),"Invalid Date"))))))</f>
        <v>46162</v>
      </c>
      <c r="U12" t="s">
        <v>134</v>
      </c>
      <c r="V12" t="str">
        <f t="shared" si="3"/>
        <v>Follow-up</v>
      </c>
      <c r="W12" t="s">
        <v>155</v>
      </c>
      <c r="X12" t="str">
        <f t="shared" si="4"/>
        <v>Migraine</v>
      </c>
      <c r="Z12" t="str">
        <f t="shared" si="5"/>
        <v/>
      </c>
      <c r="AA12" t="str">
        <f t="shared" si="6"/>
        <v>Missing</v>
      </c>
      <c r="AB12" t="s">
        <v>156</v>
      </c>
      <c r="AC12" s="6">
        <f t="shared" si="7"/>
        <v>37.1</v>
      </c>
      <c r="AD12" s="6" t="str">
        <f t="shared" si="8"/>
        <v>Valid</v>
      </c>
      <c r="AF12" t="str">
        <f t="shared" si="9"/>
        <v/>
      </c>
      <c r="AG12" t="str">
        <f t="shared" si="10"/>
        <v>Missing</v>
      </c>
      <c r="AI12" t="str">
        <f t="shared" si="11"/>
        <v/>
      </c>
      <c r="AJ12" s="5" t="s">
        <v>157</v>
      </c>
      <c r="AK12">
        <f>IF(TRIM(AJ12)="","",IF(LOWER(TRIM(AJ12))="one hundred",100,IFERROR(IF(VALUE(SUBSTITUTE(UPPER(TRIM(AJ12)),"GHS",""))&lt;0,"",VALUE(SUBSTITUTE(UPPER(TRIM(AJ12)),"GHS",""))),"")))</f>
        <v>504.07</v>
      </c>
      <c r="AL12" t="s">
        <v>158</v>
      </c>
      <c r="AM12">
        <f t="shared" si="12"/>
        <v>293.63</v>
      </c>
      <c r="AO12" t="str">
        <f t="shared" si="13"/>
        <v/>
      </c>
      <c r="AP12">
        <f>IF(OR(MessyClinicPatients[[#This Row],[Clean Total Bill]]="",MessyClinicPatients[[#This Row],[Clean Amount Paid]]=""),"",MessyClinicPatients[[#This Row],[Clean Total Bill]]-MessyClinicPatients[[#This Row],[Clean Amount Paid]])</f>
        <v>210.44</v>
      </c>
      <c r="AQ12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12" t="s">
        <v>96</v>
      </c>
      <c r="AS12" t="str">
        <f t="shared" si="14"/>
        <v>Nurse Amina</v>
      </c>
      <c r="AT12" t="s">
        <v>159</v>
      </c>
      <c r="AU12" t="str">
        <f t="shared" si="15"/>
        <v>Missing Lab Results</v>
      </c>
    </row>
    <row r="13" spans="1:47" ht="18" customHeight="1">
      <c r="A13" t="s">
        <v>160</v>
      </c>
      <c r="B13" t="str">
        <f t="shared" si="0"/>
        <v>P-1012</v>
      </c>
      <c r="C13" t="s">
        <v>161</v>
      </c>
      <c r="D13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Emeka</v>
      </c>
      <c r="E13" t="s">
        <v>162</v>
      </c>
      <c r="F13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Johnson</v>
      </c>
      <c r="H13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13" t="s">
        <v>163</v>
      </c>
      <c r="J13" t="str">
        <f t="shared" si="1"/>
        <v>Male</v>
      </c>
      <c r="L13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3" t="s">
        <v>164</v>
      </c>
      <c r="N13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6219215065</v>
      </c>
      <c r="O13" t="s">
        <v>165</v>
      </c>
      <c r="P13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emeka.johnson@email.com</v>
      </c>
      <c r="R13" t="str">
        <f t="shared" si="2"/>
        <v/>
      </c>
      <c r="S13" t="s">
        <v>166</v>
      </c>
      <c r="T13" s="8">
        <f>IF(S13="","",IF(ISNUMBER(S13),S13,IF(AND(LEN(S13)=10,MID(S13,5,1)="-"),IFERROR(DATE(VALUE(LEFT(S13,4)),VALUE(MID(S13,6,2)),VALUE(RIGHT(S13,2))),"Invalid Date"),IF(AND(LEN(S13)=10,MID(S13,3,1)="/"),IFERROR(DATE(VALUE(RIGHT(S13,4)),VALUE(MID(S13,4,2)),VALUE(LEFT(S13,2))),"Invalid Date"),IF(AND(LEN(S13)=10,MID(S13,5,1)="/"),"Invalid Date",IFERROR(DATE(VALUE(RIGHT(S13,4)),MATCH(LEFT(S13,3),{"Jan","Feb","Mar","Apr","May","Jun","Jul","Aug","Sep","Oct","Nov","Dec"},0),VALUE(MID(S13,5,FIND(",",S13)-5))),"Invalid Date"))))))</f>
        <v>46120</v>
      </c>
      <c r="V13" t="str">
        <f t="shared" si="3"/>
        <v/>
      </c>
      <c r="W13" t="s">
        <v>167</v>
      </c>
      <c r="X13" t="str">
        <f t="shared" si="4"/>
        <v>Pregnancy</v>
      </c>
      <c r="Y13" t="s">
        <v>145</v>
      </c>
      <c r="Z13" t="str">
        <f t="shared" si="5"/>
        <v>120/80</v>
      </c>
      <c r="AA13" t="str">
        <f t="shared" si="6"/>
        <v>Valid</v>
      </c>
      <c r="AB13" t="s">
        <v>168</v>
      </c>
      <c r="AC13" s="6">
        <f t="shared" si="7"/>
        <v>38.277777777777779</v>
      </c>
      <c r="AD13" s="6" t="str">
        <f t="shared" si="8"/>
        <v>Fahrenheit Converted</v>
      </c>
      <c r="AE13" t="s">
        <v>169</v>
      </c>
      <c r="AF13">
        <f t="shared" si="9"/>
        <v>41.4</v>
      </c>
      <c r="AG13" t="str">
        <f t="shared" si="10"/>
        <v>Valid</v>
      </c>
      <c r="AH13" t="s">
        <v>51</v>
      </c>
      <c r="AI13" t="str">
        <f t="shared" si="11"/>
        <v>Private</v>
      </c>
      <c r="AJ13" s="5" t="s">
        <v>170</v>
      </c>
      <c r="AK13">
        <f>IF(TRIM(AJ13)="","",IF(LOWER(TRIM(AJ13))="one hundred",100,IFERROR(IF(VALUE(SUBSTITUTE(UPPER(TRIM(AJ13)),"GHS",""))&lt;0,"",VALUE(SUBSTITUTE(UPPER(TRIM(AJ13)),"GHS",""))),"")))</f>
        <v>517.98</v>
      </c>
      <c r="AM13" t="str">
        <f t="shared" si="12"/>
        <v/>
      </c>
      <c r="AN13" t="s">
        <v>147</v>
      </c>
      <c r="AO13" t="str">
        <f t="shared" si="13"/>
        <v>Paid</v>
      </c>
      <c r="AP13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13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13" t="s">
        <v>83</v>
      </c>
      <c r="AS13" t="str">
        <f t="shared" si="14"/>
        <v>Dr. Patel</v>
      </c>
      <c r="AT13" t="s">
        <v>171</v>
      </c>
      <c r="AU13" t="str">
        <f t="shared" si="15"/>
        <v>Allergy: Penicillin</v>
      </c>
    </row>
    <row r="14" spans="1:47" ht="18" customHeight="1">
      <c r="A14" t="s">
        <v>172</v>
      </c>
      <c r="B14" t="str">
        <f t="shared" si="0"/>
        <v>P-1013</v>
      </c>
      <c r="C14" t="s">
        <v>173</v>
      </c>
      <c r="D14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Chinedu</v>
      </c>
      <c r="E14" t="s">
        <v>174</v>
      </c>
      <c r="F14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Addo</v>
      </c>
      <c r="G14" s="9">
        <v>34</v>
      </c>
      <c r="H14" t="str">
        <f>IF(OR(MessyClinicPatients[[#This Row],[Age]]="",MessyClinicPatients[[#This Row],[Age]]="unknown"),"Missing",IF(OR(MessyClinicPatients[[#This Row],[Age]]&lt;0,MessyClinicPatients[[#This Row],[Age]]&gt;120),"Invalid Age","Valid"))</f>
        <v>Valid</v>
      </c>
      <c r="I14" t="s">
        <v>74</v>
      </c>
      <c r="J14" t="str">
        <f t="shared" si="1"/>
        <v>Female</v>
      </c>
      <c r="L14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4" t="s">
        <v>176</v>
      </c>
      <c r="N14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14" t="s">
        <v>177</v>
      </c>
      <c r="P14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Q14" t="s">
        <v>63</v>
      </c>
      <c r="R14" t="str">
        <f t="shared" si="2"/>
        <v>Tamale</v>
      </c>
      <c r="S14" t="s">
        <v>178</v>
      </c>
      <c r="T14" s="8">
        <f>IF(S14="","",IF(ISNUMBER(S14),S14,IF(AND(LEN(S14)=10,MID(S14,5,1)="-"),IFERROR(DATE(VALUE(LEFT(S14,4)),VALUE(MID(S14,6,2)),VALUE(RIGHT(S14,2))),"Invalid Date"),IF(AND(LEN(S14)=10,MID(S14,3,1)="/"),IFERROR(DATE(VALUE(RIGHT(S14,4)),VALUE(MID(S14,4,2)),VALUE(LEFT(S14,2))),"Invalid Date"),IF(AND(LEN(S14)=10,MID(S14,5,1)="/"),"Invalid Date",IFERROR(DATE(VALUE(RIGHT(S14,4)),MATCH(LEFT(S14,3),{"Jan","Feb","Mar","Apr","May","Jun","Jul","Aug","Sep","Oct","Nov","Dec"},0),VALUE(MID(S14,5,FIND(",",S14)-5))),"Invalid Date"))))))</f>
        <v>46088</v>
      </c>
      <c r="U14" t="s">
        <v>30</v>
      </c>
      <c r="V14" t="str">
        <f t="shared" si="3"/>
        <v>Vaccination</v>
      </c>
      <c r="W14" t="s">
        <v>49</v>
      </c>
      <c r="X14" t="str">
        <f t="shared" si="4"/>
        <v>None</v>
      </c>
      <c r="Y14" t="s">
        <v>179</v>
      </c>
      <c r="Z14" t="str">
        <f t="shared" si="5"/>
        <v/>
      </c>
      <c r="AA14" t="str">
        <f t="shared" si="6"/>
        <v>Missing</v>
      </c>
      <c r="AB14" t="s">
        <v>33</v>
      </c>
      <c r="AC14" s="6" t="str">
        <f t="shared" si="7"/>
        <v/>
      </c>
      <c r="AD14" s="6" t="str">
        <f t="shared" si="8"/>
        <v>Missing</v>
      </c>
      <c r="AE14" t="s">
        <v>180</v>
      </c>
      <c r="AF14">
        <f t="shared" si="9"/>
        <v>75.900000000000006</v>
      </c>
      <c r="AG14" t="str">
        <f t="shared" si="10"/>
        <v>Valid</v>
      </c>
      <c r="AI14" t="str">
        <f t="shared" si="11"/>
        <v/>
      </c>
      <c r="AJ14" s="5" t="s">
        <v>181</v>
      </c>
      <c r="AK14">
        <f>IF(TRIM(AJ14)="","",IF(LOWER(TRIM(AJ14))="one hundred",100,IFERROR(IF(VALUE(SUBSTITUTE(UPPER(TRIM(AJ14)),"GHS",""))&lt;0,"",VALUE(SUBSTITUTE(UPPER(TRIM(AJ14)),"GHS",""))),"")))</f>
        <v>431.1</v>
      </c>
      <c r="AL14" t="s">
        <v>37</v>
      </c>
      <c r="AM14">
        <f t="shared" si="12"/>
        <v>100</v>
      </c>
      <c r="AO14" t="str">
        <f t="shared" si="13"/>
        <v/>
      </c>
      <c r="AP14">
        <f>IF(OR(MessyClinicPatients[[#This Row],[Clean Total Bill]]="",MessyClinicPatients[[#This Row],[Clean Amount Paid]]=""),"",MessyClinicPatients[[#This Row],[Clean Total Bill]]-MessyClinicPatients[[#This Row],[Clean Amount Paid]])</f>
        <v>331.1</v>
      </c>
      <c r="AQ14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14" t="s">
        <v>83</v>
      </c>
      <c r="AS14" t="str">
        <f t="shared" si="14"/>
        <v>Dr. Patel</v>
      </c>
      <c r="AT14" t="s">
        <v>159</v>
      </c>
      <c r="AU14" t="str">
        <f t="shared" si="15"/>
        <v>Missing Lab Results</v>
      </c>
    </row>
    <row r="15" spans="1:47" ht="18" customHeight="1">
      <c r="A15" t="s">
        <v>182</v>
      </c>
      <c r="B15" t="str">
        <f t="shared" si="0"/>
        <v>P-1014</v>
      </c>
      <c r="C15" t="s">
        <v>109</v>
      </c>
      <c r="D15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David</v>
      </c>
      <c r="E15" t="s">
        <v>72</v>
      </c>
      <c r="F15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Owusu</v>
      </c>
      <c r="G15" s="9">
        <v>-3</v>
      </c>
      <c r="H15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15" t="s">
        <v>183</v>
      </c>
      <c r="J15" t="str">
        <f t="shared" si="1"/>
        <v>Male</v>
      </c>
      <c r="L15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5" t="s">
        <v>184</v>
      </c>
      <c r="N15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6156611006</v>
      </c>
      <c r="O15" t="s">
        <v>185</v>
      </c>
      <c r="P15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Q15" t="s">
        <v>28</v>
      </c>
      <c r="R15" t="str">
        <f t="shared" si="2"/>
        <v>Ibadan</v>
      </c>
      <c r="S15" t="s">
        <v>92</v>
      </c>
      <c r="T15" s="8" t="str">
        <f>IF(S15="","",IF(ISNUMBER(S15),S15,IF(AND(LEN(S15)=10,MID(S15,5,1)="-"),IFERROR(DATE(VALUE(LEFT(S15,4)),VALUE(MID(S15,6,2)),VALUE(RIGHT(S15,2))),"Invalid Date"),IF(AND(LEN(S15)=10,MID(S15,3,1)="/"),IFERROR(DATE(VALUE(RIGHT(S15,4)),VALUE(MID(S15,4,2)),VALUE(LEFT(S15,2))),"Invalid Date"),IF(AND(LEN(S15)=10,MID(S15,5,1)="/"),"Invalid Date",IFERROR(DATE(VALUE(RIGHT(S15,4)),MATCH(LEFT(S15,3),{"Jan","Feb","Mar","Apr","May","Jun","Jul","Aug","Sep","Oct","Nov","Dec"},0),VALUE(MID(S15,5,FIND(",",S15)-5))),"Invalid Date"))))))</f>
        <v>Invalid Date</v>
      </c>
      <c r="U15" t="s">
        <v>134</v>
      </c>
      <c r="V15" t="str">
        <f t="shared" si="3"/>
        <v>Follow-up</v>
      </c>
      <c r="X15" t="str">
        <f t="shared" si="4"/>
        <v/>
      </c>
      <c r="Y15" t="s">
        <v>186</v>
      </c>
      <c r="Z15" t="str">
        <f t="shared" si="5"/>
        <v/>
      </c>
      <c r="AA15" t="str">
        <f t="shared" si="6"/>
        <v>Missing</v>
      </c>
      <c r="AC15" s="6" t="str">
        <f t="shared" si="7"/>
        <v/>
      </c>
      <c r="AD15" s="6" t="str">
        <f t="shared" si="8"/>
        <v>Missing</v>
      </c>
      <c r="AE15" t="s">
        <v>80</v>
      </c>
      <c r="AF15">
        <f t="shared" si="9"/>
        <v>80</v>
      </c>
      <c r="AG15" t="str">
        <f t="shared" si="10"/>
        <v>Valid</v>
      </c>
      <c r="AH15" t="s">
        <v>35</v>
      </c>
      <c r="AI15" t="str">
        <f t="shared" si="11"/>
        <v>Corporate</v>
      </c>
      <c r="AJ15" s="5" t="s">
        <v>187</v>
      </c>
      <c r="AK15">
        <f>IF(TRIM(AJ15)="","",IF(LOWER(TRIM(AJ15))="one hundred",100,IFERROR(IF(VALUE(SUBSTITUTE(UPPER(TRIM(AJ15)),"GHS",""))&lt;0,"",VALUE(SUBSTITUTE(UPPER(TRIM(AJ15)),"GHS",""))),"")))</f>
        <v>371.86</v>
      </c>
      <c r="AM15" t="str">
        <f t="shared" si="12"/>
        <v/>
      </c>
      <c r="AN15" t="s">
        <v>137</v>
      </c>
      <c r="AO15" t="str">
        <f t="shared" si="13"/>
        <v>Unpaid</v>
      </c>
      <c r="AP15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15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R15" t="s">
        <v>54</v>
      </c>
      <c r="AS15" t="str">
        <f t="shared" si="14"/>
        <v>Dr. Lee</v>
      </c>
      <c r="AT15" t="s">
        <v>97</v>
      </c>
      <c r="AU15" t="str">
        <f t="shared" si="15"/>
        <v>Patient Came Late</v>
      </c>
    </row>
    <row r="16" spans="1:47" ht="18" customHeight="1">
      <c r="A16" t="s">
        <v>188</v>
      </c>
      <c r="B16" t="str">
        <f t="shared" si="0"/>
        <v>P-1015</v>
      </c>
      <c r="C16" t="s">
        <v>99</v>
      </c>
      <c r="D16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Fatima</v>
      </c>
      <c r="E16" t="s">
        <v>189</v>
      </c>
      <c r="F16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Mensah</v>
      </c>
      <c r="H16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J16" t="str">
        <f t="shared" si="1"/>
        <v/>
      </c>
      <c r="L16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6" t="s">
        <v>61</v>
      </c>
      <c r="N16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Invalid Phone</v>
      </c>
      <c r="O16" t="s">
        <v>27</v>
      </c>
      <c r="P16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16" t="s">
        <v>110</v>
      </c>
      <c r="R16" t="str">
        <f t="shared" si="2"/>
        <v>Kumasi</v>
      </c>
      <c r="T16" s="8" t="str">
        <f>IF(S16="","",IF(ISNUMBER(S16),S16,IF(AND(LEN(S16)=10,MID(S16,5,1)="-"),IFERROR(DATE(VALUE(LEFT(S16,4)),VALUE(MID(S16,6,2)),VALUE(RIGHT(S16,2))),"Invalid Date"),IF(AND(LEN(S16)=10,MID(S16,3,1)="/"),IFERROR(DATE(VALUE(RIGHT(S16,4)),VALUE(MID(S16,4,2)),VALUE(LEFT(S16,2))),"Invalid Date"),IF(AND(LEN(S16)=10,MID(S16,5,1)="/"),"Invalid Date",IFERROR(DATE(VALUE(RIGHT(S16,4)),MATCH(LEFT(S16,3),{"Jan","Feb","Mar","Apr","May","Jun","Jul","Aug","Sep","Oct","Nov","Dec"},0),VALUE(MID(S16,5,FIND(",",S16)-5))),"Invalid Date"))))))</f>
        <v/>
      </c>
      <c r="U16" t="s">
        <v>48</v>
      </c>
      <c r="V16" t="str">
        <f t="shared" si="3"/>
        <v>Routine Checkup</v>
      </c>
      <c r="W16" t="s">
        <v>49</v>
      </c>
      <c r="X16" t="str">
        <f t="shared" si="4"/>
        <v>None</v>
      </c>
      <c r="Y16" t="s">
        <v>145</v>
      </c>
      <c r="Z16" t="str">
        <f t="shared" si="5"/>
        <v>120/80</v>
      </c>
      <c r="AA16" t="str">
        <f t="shared" si="6"/>
        <v>Valid</v>
      </c>
      <c r="AB16" t="s">
        <v>190</v>
      </c>
      <c r="AC16" s="6">
        <f t="shared" si="7"/>
        <v>39.777777777777779</v>
      </c>
      <c r="AD16" s="6" t="str">
        <f t="shared" si="8"/>
        <v>Fahrenheit Converted</v>
      </c>
      <c r="AF16" t="str">
        <f t="shared" si="9"/>
        <v/>
      </c>
      <c r="AG16" t="str">
        <f t="shared" si="10"/>
        <v>Missing</v>
      </c>
      <c r="AH16" t="s">
        <v>51</v>
      </c>
      <c r="AI16" t="str">
        <f t="shared" si="11"/>
        <v>Private</v>
      </c>
      <c r="AJ16" s="5" t="s">
        <v>191</v>
      </c>
      <c r="AK16">
        <f>IF(TRIM(AJ16)="","",IF(LOWER(TRIM(AJ16))="one hundred",100,IFERROR(IF(VALUE(SUBSTITUTE(UPPER(TRIM(AJ16)),"GHS",""))&lt;0,"",VALUE(SUBSTITUTE(UPPER(TRIM(AJ16)),"GHS",""))),"")))</f>
        <v>161.51</v>
      </c>
      <c r="AL16" t="s">
        <v>191</v>
      </c>
      <c r="AM16">
        <f t="shared" si="12"/>
        <v>161.51</v>
      </c>
      <c r="AN16" t="s">
        <v>68</v>
      </c>
      <c r="AO16" t="str">
        <f t="shared" si="13"/>
        <v>Paid</v>
      </c>
      <c r="AP16">
        <f>IF(OR(MessyClinicPatients[[#This Row],[Clean Total Bill]]="",MessyClinicPatients[[#This Row],[Clean Amount Paid]]=""),"",MessyClinicPatients[[#This Row],[Clean Total Bill]]-MessyClinicPatients[[#This Row],[Clean Amount Paid]])</f>
        <v>0</v>
      </c>
      <c r="AQ16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S16" t="str">
        <f t="shared" si="14"/>
        <v/>
      </c>
      <c r="AU16" t="str">
        <f t="shared" si="15"/>
        <v/>
      </c>
    </row>
    <row r="17" spans="1:47" ht="18" customHeight="1">
      <c r="A17" t="s">
        <v>192</v>
      </c>
      <c r="B17" t="str">
        <f t="shared" si="0"/>
        <v>P-1016</v>
      </c>
      <c r="C17" t="s">
        <v>193</v>
      </c>
      <c r="D17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Blessing</v>
      </c>
      <c r="E17" t="s">
        <v>120</v>
      </c>
      <c r="F17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Taylor</v>
      </c>
      <c r="H17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17" t="s">
        <v>25</v>
      </c>
      <c r="J17" t="str">
        <f t="shared" si="1"/>
        <v>Other</v>
      </c>
      <c r="L17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7" t="s">
        <v>176</v>
      </c>
      <c r="N17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17" t="s">
        <v>194</v>
      </c>
      <c r="P17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Q17" t="s">
        <v>76</v>
      </c>
      <c r="R17" t="str">
        <f t="shared" si="2"/>
        <v>Cape Coast</v>
      </c>
      <c r="T17" s="8" t="str">
        <f>IF(S17="","",IF(ISNUMBER(S17),S17,IF(AND(LEN(S17)=10,MID(S17,5,1)="-"),IFERROR(DATE(VALUE(LEFT(S17,4)),VALUE(MID(S17,6,2)),VALUE(RIGHT(S17,2))),"Invalid Date"),IF(AND(LEN(S17)=10,MID(S17,3,1)="/"),IFERROR(DATE(VALUE(RIGHT(S17,4)),VALUE(MID(S17,4,2)),VALUE(LEFT(S17,2))),"Invalid Date"),IF(AND(LEN(S17)=10,MID(S17,5,1)="/"),"Invalid Date",IFERROR(DATE(VALUE(RIGHT(S17,4)),MATCH(LEFT(S17,3),{"Jan","Feb","Mar","Apr","May","Jun","Jul","Aug","Sep","Oct","Nov","Dec"},0),VALUE(MID(S17,5,FIND(",",S17)-5))),"Invalid Date"))))))</f>
        <v/>
      </c>
      <c r="U17" t="s">
        <v>102</v>
      </c>
      <c r="V17" t="str">
        <f t="shared" si="3"/>
        <v>Consultation</v>
      </c>
      <c r="W17" t="s">
        <v>195</v>
      </c>
      <c r="X17" t="str">
        <f t="shared" si="4"/>
        <v>Skin Rash</v>
      </c>
      <c r="Y17" t="s">
        <v>196</v>
      </c>
      <c r="Z17" t="str">
        <f t="shared" si="5"/>
        <v/>
      </c>
      <c r="AA17" t="str">
        <f t="shared" si="6"/>
        <v>Missing</v>
      </c>
      <c r="AB17" t="s">
        <v>197</v>
      </c>
      <c r="AC17" s="6">
        <f t="shared" si="7"/>
        <v>35.777777777777779</v>
      </c>
      <c r="AD17" s="6" t="str">
        <f t="shared" si="8"/>
        <v>Fahrenheit Converted</v>
      </c>
      <c r="AF17" t="str">
        <f t="shared" si="9"/>
        <v/>
      </c>
      <c r="AG17" t="str">
        <f t="shared" si="10"/>
        <v>Missing</v>
      </c>
      <c r="AH17" t="s">
        <v>176</v>
      </c>
      <c r="AI17" t="str">
        <f t="shared" si="11"/>
        <v/>
      </c>
      <c r="AJ17" s="5" t="s">
        <v>198</v>
      </c>
      <c r="AK17">
        <f>IF(TRIM(AJ17)="","",IF(LOWER(TRIM(AJ17))="one hundred",100,IFERROR(IF(VALUE(SUBSTITUTE(UPPER(TRIM(AJ17)),"GHS",""))&lt;0,"",VALUE(SUBSTITUTE(UPPER(TRIM(AJ17)),"GHS",""))),"")))</f>
        <v>64.94</v>
      </c>
      <c r="AL17" t="s">
        <v>53</v>
      </c>
      <c r="AM17">
        <f t="shared" si="12"/>
        <v>0</v>
      </c>
      <c r="AN17" t="s">
        <v>137</v>
      </c>
      <c r="AO17" t="str">
        <f t="shared" si="13"/>
        <v>Unpaid</v>
      </c>
      <c r="AP17">
        <f>IF(OR(MessyClinicPatients[[#This Row],[Clean Total Bill]]="",MessyClinicPatients[[#This Row],[Clean Amount Paid]]=""),"",MessyClinicPatients[[#This Row],[Clean Total Bill]]-MessyClinicPatients[[#This Row],[Clean Amount Paid]])</f>
        <v>64.94</v>
      </c>
      <c r="AQ17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S17" t="str">
        <f t="shared" si="14"/>
        <v/>
      </c>
      <c r="AU17" t="str">
        <f t="shared" si="15"/>
        <v/>
      </c>
    </row>
    <row r="18" spans="1:47" ht="18" customHeight="1">
      <c r="A18" t="s">
        <v>199</v>
      </c>
      <c r="B18" t="str">
        <f t="shared" si="0"/>
        <v>P-0017</v>
      </c>
      <c r="C18" t="s">
        <v>200</v>
      </c>
      <c r="D18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Musa</v>
      </c>
      <c r="E18" t="s">
        <v>86</v>
      </c>
      <c r="F18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Williams</v>
      </c>
      <c r="G18" s="9">
        <v>75</v>
      </c>
      <c r="H18" t="str">
        <f>IF(OR(MessyClinicPatients[[#This Row],[Age]]="",MessyClinicPatients[[#This Row],[Age]]="unknown"),"Missing",IF(OR(MessyClinicPatients[[#This Row],[Age]]&lt;0,MessyClinicPatients[[#This Row],[Age]]&gt;120),"Invalid Age","Valid"))</f>
        <v>Valid</v>
      </c>
      <c r="I18" t="s">
        <v>25</v>
      </c>
      <c r="J18" t="str">
        <f t="shared" si="1"/>
        <v>Other</v>
      </c>
      <c r="K18" t="s">
        <v>202</v>
      </c>
      <c r="L18" s="8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18476</v>
      </c>
      <c r="N18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18" t="s">
        <v>27</v>
      </c>
      <c r="P18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18" t="s">
        <v>132</v>
      </c>
      <c r="R18" t="str">
        <f t="shared" si="2"/>
        <v>Kano</v>
      </c>
      <c r="S18" t="s">
        <v>203</v>
      </c>
      <c r="T18" s="8">
        <f>IF(S18="","",IF(ISNUMBER(S18),S18,IF(AND(LEN(S18)=10,MID(S18,5,1)="-"),IFERROR(DATE(VALUE(LEFT(S18,4)),VALUE(MID(S18,6,2)),VALUE(RIGHT(S18,2))),"Invalid Date"),IF(AND(LEN(S18)=10,MID(S18,3,1)="/"),IFERROR(DATE(VALUE(RIGHT(S18,4)),VALUE(MID(S18,4,2)),VALUE(LEFT(S18,2))),"Invalid Date"),IF(AND(LEN(S18)=10,MID(S18,5,1)="/"),"Invalid Date",IFERROR(DATE(VALUE(RIGHT(S18,4)),MATCH(LEFT(S18,3),{"Jan","Feb","Mar","Apr","May","Jun","Jul","Aug","Sep","Oct","Nov","Dec"},0),VALUE(MID(S18,5,FIND(",",S18)-5))),"Invalid Date"))))))</f>
        <v>46079</v>
      </c>
      <c r="U18" t="s">
        <v>144</v>
      </c>
      <c r="V18" t="str">
        <f t="shared" si="3"/>
        <v>Consultation</v>
      </c>
      <c r="W18" t="s">
        <v>103</v>
      </c>
      <c r="X18" t="str">
        <f t="shared" si="4"/>
        <v>Diabetes</v>
      </c>
      <c r="Y18" t="s">
        <v>179</v>
      </c>
      <c r="Z18" t="str">
        <f t="shared" si="5"/>
        <v/>
      </c>
      <c r="AA18" t="str">
        <f t="shared" si="6"/>
        <v>Missing</v>
      </c>
      <c r="AC18" s="6" t="str">
        <f t="shared" si="7"/>
        <v/>
      </c>
      <c r="AD18" s="6" t="str">
        <f t="shared" si="8"/>
        <v>Missing</v>
      </c>
      <c r="AE18" t="s">
        <v>204</v>
      </c>
      <c r="AF18" t="str">
        <f t="shared" si="9"/>
        <v/>
      </c>
      <c r="AG18" t="str">
        <f t="shared" si="10"/>
        <v>Missing</v>
      </c>
      <c r="AI18" t="str">
        <f t="shared" si="11"/>
        <v/>
      </c>
      <c r="AJ18" s="5" t="s">
        <v>205</v>
      </c>
      <c r="AK18">
        <f>IF(TRIM(AJ18)="","",IF(LOWER(TRIM(AJ18))="one hundred",100,IFERROR(IF(VALUE(SUBSTITUTE(UPPER(TRIM(AJ18)),"GHS",""))&lt;0,"",VALUE(SUBSTITUTE(UPPER(TRIM(AJ18)),"GHS",""))),"")))</f>
        <v>272.77999999999997</v>
      </c>
      <c r="AL18" t="s">
        <v>53</v>
      </c>
      <c r="AM18">
        <f t="shared" si="12"/>
        <v>0</v>
      </c>
      <c r="AN18" t="s">
        <v>68</v>
      </c>
      <c r="AO18" t="str">
        <f t="shared" si="13"/>
        <v>Paid</v>
      </c>
      <c r="AP18">
        <f>IF(OR(MessyClinicPatients[[#This Row],[Clean Total Bill]]="",MessyClinicPatients[[#This Row],[Clean Amount Paid]]=""),"",MessyClinicPatients[[#This Row],[Clean Total Bill]]-MessyClinicPatients[[#This Row],[Clean Amount Paid]])</f>
        <v>272.77999999999997</v>
      </c>
      <c r="AQ18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R18" t="s">
        <v>96</v>
      </c>
      <c r="AS18" t="str">
        <f t="shared" si="14"/>
        <v>Nurse Amina</v>
      </c>
      <c r="AU18" t="str">
        <f t="shared" si="15"/>
        <v/>
      </c>
    </row>
    <row r="19" spans="1:47" ht="18" customHeight="1">
      <c r="A19" t="s">
        <v>206</v>
      </c>
      <c r="B19" t="str">
        <f t="shared" si="0"/>
        <v>P-0018</v>
      </c>
      <c r="C19" t="s">
        <v>129</v>
      </c>
      <c r="D19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Kwame</v>
      </c>
      <c r="E19" t="s">
        <v>57</v>
      </c>
      <c r="F19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Ali</v>
      </c>
      <c r="G19" t="s">
        <v>24</v>
      </c>
      <c r="H19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19" t="s">
        <v>151</v>
      </c>
      <c r="J19" t="str">
        <f t="shared" si="1"/>
        <v>Male</v>
      </c>
      <c r="L19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9" t="s">
        <v>176</v>
      </c>
      <c r="N19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19" t="s">
        <v>207</v>
      </c>
      <c r="P19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kwame.ali@email.com</v>
      </c>
      <c r="Q19" t="s">
        <v>110</v>
      </c>
      <c r="R19" t="str">
        <f t="shared" si="2"/>
        <v>Kumasi</v>
      </c>
      <c r="S19" t="s">
        <v>208</v>
      </c>
      <c r="T19" s="8">
        <f>IF(S19="","",IF(ISNUMBER(S19),S19,IF(AND(LEN(S19)=10,MID(S19,5,1)="-"),IFERROR(DATE(VALUE(LEFT(S19,4)),VALUE(MID(S19,6,2)),VALUE(RIGHT(S19,2))),"Invalid Date"),IF(AND(LEN(S19)=10,MID(S19,3,1)="/"),IFERROR(DATE(VALUE(RIGHT(S19,4)),VALUE(MID(S19,4,2)),VALUE(LEFT(S19,2))),"Invalid Date"),IF(AND(LEN(S19)=10,MID(S19,5,1)="/"),"Invalid Date",IFERROR(DATE(VALUE(RIGHT(S19,4)),MATCH(LEFT(S19,3),{"Jan","Feb","Mar","Apr","May","Jun","Jul","Aug","Sep","Oct","Nov","Dec"},0),VALUE(MID(S19,5,FIND(",",S19)-5))),"Invalid Date"))))))</f>
        <v>46143</v>
      </c>
      <c r="U19" t="s">
        <v>48</v>
      </c>
      <c r="V19" t="str">
        <f t="shared" si="3"/>
        <v>Routine Checkup</v>
      </c>
      <c r="W19" t="s">
        <v>49</v>
      </c>
      <c r="X19" t="str">
        <f t="shared" si="4"/>
        <v>None</v>
      </c>
      <c r="Y19" t="s">
        <v>209</v>
      </c>
      <c r="Z19" t="str">
        <f t="shared" si="5"/>
        <v>123/101</v>
      </c>
      <c r="AA19" t="str">
        <f t="shared" si="6"/>
        <v>Valid</v>
      </c>
      <c r="AC19" s="6" t="str">
        <f t="shared" si="7"/>
        <v/>
      </c>
      <c r="AD19" s="6" t="str">
        <f t="shared" si="8"/>
        <v>Missing</v>
      </c>
      <c r="AE19" t="s">
        <v>204</v>
      </c>
      <c r="AF19" t="str">
        <f t="shared" si="9"/>
        <v/>
      </c>
      <c r="AG19" t="str">
        <f t="shared" si="10"/>
        <v>Missing</v>
      </c>
      <c r="AH19" t="s">
        <v>93</v>
      </c>
      <c r="AI19" t="str">
        <f t="shared" si="11"/>
        <v>Private</v>
      </c>
      <c r="AJ19" s="5" t="s">
        <v>210</v>
      </c>
      <c r="AK19">
        <f>IF(TRIM(AJ19)="","",IF(LOWER(TRIM(AJ19))="one hundred",100,IFERROR(IF(VALUE(SUBSTITUTE(UPPER(TRIM(AJ19)),"GHS",""))&lt;0,"",VALUE(SUBSTITUTE(UPPER(TRIM(AJ19)),"GHS",""))),"")))</f>
        <v>454.43</v>
      </c>
      <c r="AL19" t="s">
        <v>53</v>
      </c>
      <c r="AM19">
        <f t="shared" si="12"/>
        <v>0</v>
      </c>
      <c r="AN19" t="s">
        <v>137</v>
      </c>
      <c r="AO19" t="str">
        <f t="shared" si="13"/>
        <v>Unpaid</v>
      </c>
      <c r="AP19">
        <f>IF(OR(MessyClinicPatients[[#This Row],[Clean Total Bill]]="",MessyClinicPatients[[#This Row],[Clean Amount Paid]]=""),"",MessyClinicPatients[[#This Row],[Clean Total Bill]]-MessyClinicPatients[[#This Row],[Clean Amount Paid]])</f>
        <v>454.43</v>
      </c>
      <c r="AQ19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R19" t="s">
        <v>211</v>
      </c>
      <c r="AS19" t="str">
        <f t="shared" si="14"/>
        <v>Nurse Ama</v>
      </c>
      <c r="AT19" t="s">
        <v>40</v>
      </c>
      <c r="AU19" t="str">
        <f t="shared" si="15"/>
        <v>Needs Follow-Up</v>
      </c>
    </row>
    <row r="20" spans="1:47" ht="18" customHeight="1">
      <c r="B20" t="str">
        <f t="shared" si="0"/>
        <v/>
      </c>
      <c r="C20" t="s">
        <v>212</v>
      </c>
      <c r="D20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Victoria</v>
      </c>
      <c r="E20" t="s">
        <v>57</v>
      </c>
      <c r="F20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Ali</v>
      </c>
      <c r="H20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20" t="s">
        <v>163</v>
      </c>
      <c r="J20" t="str">
        <f t="shared" si="1"/>
        <v>Male</v>
      </c>
      <c r="L20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20" t="s">
        <v>213</v>
      </c>
      <c r="N20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5182101420</v>
      </c>
      <c r="O20" t="s">
        <v>27</v>
      </c>
      <c r="P20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20" t="s">
        <v>63</v>
      </c>
      <c r="R20" t="str">
        <f t="shared" si="2"/>
        <v>Tamale</v>
      </c>
      <c r="S20" t="s">
        <v>214</v>
      </c>
      <c r="T20" s="8">
        <f>IF(S20="","",IF(ISNUMBER(S20),S20,IF(AND(LEN(S20)=10,MID(S20,5,1)="-"),IFERROR(DATE(VALUE(LEFT(S20,4)),VALUE(MID(S20,6,2)),VALUE(RIGHT(S20,2))),"Invalid Date"),IF(AND(LEN(S20)=10,MID(S20,3,1)="/"),IFERROR(DATE(VALUE(RIGHT(S20,4)),VALUE(MID(S20,4,2)),VALUE(LEFT(S20,2))),"Invalid Date"),IF(AND(LEN(S20)=10,MID(S20,5,1)="/"),"Invalid Date",IFERROR(DATE(VALUE(RIGHT(S20,4)),MATCH(LEFT(S20,3),{"Jan","Feb","Mar","Apr","May","Jun","Jul","Aug","Sep","Oct","Nov","Dec"},0),VALUE(MID(S20,5,FIND(",",S20)-5))),"Invalid Date"))))))</f>
        <v>46124</v>
      </c>
      <c r="U20" t="s">
        <v>111</v>
      </c>
      <c r="V20" t="str">
        <f t="shared" si="3"/>
        <v>Follow-up</v>
      </c>
      <c r="W20" t="s">
        <v>49</v>
      </c>
      <c r="X20" t="str">
        <f t="shared" si="4"/>
        <v>None</v>
      </c>
      <c r="Z20" t="str">
        <f t="shared" si="5"/>
        <v/>
      </c>
      <c r="AA20" t="str">
        <f t="shared" si="6"/>
        <v>Missing</v>
      </c>
      <c r="AB20" t="s">
        <v>215</v>
      </c>
      <c r="AC20" s="6">
        <f t="shared" si="7"/>
        <v>39.700000000000003</v>
      </c>
      <c r="AD20" s="6" t="str">
        <f t="shared" si="8"/>
        <v>Valid</v>
      </c>
      <c r="AE20" t="s">
        <v>204</v>
      </c>
      <c r="AF20" t="str">
        <f t="shared" si="9"/>
        <v/>
      </c>
      <c r="AG20" t="str">
        <f t="shared" si="10"/>
        <v>Missing</v>
      </c>
      <c r="AH20" t="s">
        <v>51</v>
      </c>
      <c r="AI20" t="str">
        <f t="shared" si="11"/>
        <v>Private</v>
      </c>
      <c r="AJ20" s="5" t="s">
        <v>216</v>
      </c>
      <c r="AK20">
        <f>IF(TRIM(AJ20)="","",IF(LOWER(TRIM(AJ20))="one hundred",100,IFERROR(IF(VALUE(SUBSTITUTE(UPPER(TRIM(AJ20)),"GHS",""))&lt;0,"",VALUE(SUBSTITUTE(UPPER(TRIM(AJ20)),"GHS",""))),"")))</f>
        <v>64.08</v>
      </c>
      <c r="AL20" t="s">
        <v>116</v>
      </c>
      <c r="AM20" t="str">
        <f t="shared" si="12"/>
        <v/>
      </c>
      <c r="AO20" t="str">
        <f t="shared" si="13"/>
        <v/>
      </c>
      <c r="AP20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20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/>
      </c>
      <c r="AR20" t="s">
        <v>69</v>
      </c>
      <c r="AS20" t="str">
        <f t="shared" si="14"/>
        <v>Dr. Mensah</v>
      </c>
      <c r="AU20" t="str">
        <f t="shared" si="15"/>
        <v/>
      </c>
    </row>
    <row r="21" spans="1:47" ht="18" customHeight="1">
      <c r="A21" t="s">
        <v>217</v>
      </c>
      <c r="B21" t="str">
        <f t="shared" si="0"/>
        <v>P-0020</v>
      </c>
      <c r="C21" t="s">
        <v>218</v>
      </c>
      <c r="D21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Ama</v>
      </c>
      <c r="E21" t="s">
        <v>219</v>
      </c>
      <c r="F21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Yakubu</v>
      </c>
      <c r="G21" s="9">
        <v>63</v>
      </c>
      <c r="H21" t="str">
        <f>IF(OR(MessyClinicPatients[[#This Row],[Age]]="",MessyClinicPatients[[#This Row],[Age]]="unknown"),"Missing",IF(OR(MessyClinicPatients[[#This Row],[Age]]&lt;0,MessyClinicPatients[[#This Row],[Age]]&gt;120),"Invalid Age","Valid"))</f>
        <v>Valid</v>
      </c>
      <c r="J21" t="str">
        <f t="shared" si="1"/>
        <v/>
      </c>
      <c r="K21" t="s">
        <v>221</v>
      </c>
      <c r="L21" s="8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22977</v>
      </c>
      <c r="M21" t="s">
        <v>176</v>
      </c>
      <c r="N21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21" t="s">
        <v>27</v>
      </c>
      <c r="P21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21" t="s">
        <v>222</v>
      </c>
      <c r="R21" t="str">
        <f t="shared" si="2"/>
        <v>Abuja</v>
      </c>
      <c r="S21" t="s">
        <v>223</v>
      </c>
      <c r="T21" s="8">
        <f>IF(S21="","",IF(ISNUMBER(S21),S21,IF(AND(LEN(S21)=10,MID(S21,5,1)="-"),IFERROR(DATE(VALUE(LEFT(S21,4)),VALUE(MID(S21,6,2)),VALUE(RIGHT(S21,2))),"Invalid Date"),IF(AND(LEN(S21)=10,MID(S21,3,1)="/"),IFERROR(DATE(VALUE(RIGHT(S21,4)),VALUE(MID(S21,4,2)),VALUE(LEFT(S21,2))),"Invalid Date"),IF(AND(LEN(S21)=10,MID(S21,5,1)="/"),"Invalid Date",IFERROR(DATE(VALUE(RIGHT(S21,4)),MATCH(LEFT(S21,3),{"Jan","Feb","Mar","Apr","May","Jun","Jul","Aug","Sep","Oct","Nov","Dec"},0),VALUE(MID(S21,5,FIND(",",S21)-5))),"Invalid Date"))))))</f>
        <v>46174</v>
      </c>
      <c r="U21" t="s">
        <v>102</v>
      </c>
      <c r="V21" t="str">
        <f t="shared" si="3"/>
        <v>Consultation</v>
      </c>
      <c r="W21" t="s">
        <v>224</v>
      </c>
      <c r="X21" t="str">
        <f t="shared" si="4"/>
        <v>Diabetes</v>
      </c>
      <c r="Y21" t="s">
        <v>179</v>
      </c>
      <c r="Z21" t="str">
        <f t="shared" si="5"/>
        <v/>
      </c>
      <c r="AA21" t="str">
        <f t="shared" si="6"/>
        <v>Missing</v>
      </c>
      <c r="AB21" t="s">
        <v>33</v>
      </c>
      <c r="AC21" s="6" t="str">
        <f t="shared" si="7"/>
        <v/>
      </c>
      <c r="AD21" s="6" t="str">
        <f t="shared" si="8"/>
        <v>Missing</v>
      </c>
      <c r="AE21" t="s">
        <v>80</v>
      </c>
      <c r="AF21">
        <f t="shared" si="9"/>
        <v>80</v>
      </c>
      <c r="AG21" t="str">
        <f t="shared" si="10"/>
        <v>Valid</v>
      </c>
      <c r="AH21" t="s">
        <v>114</v>
      </c>
      <c r="AI21" t="str">
        <f t="shared" si="11"/>
        <v>NHIS</v>
      </c>
      <c r="AJ21" s="5" t="s">
        <v>225</v>
      </c>
      <c r="AK21">
        <f>IF(TRIM(AJ21)="","",IF(LOWER(TRIM(AJ21))="one hundred",100,IFERROR(IF(VALUE(SUBSTITUTE(UPPER(TRIM(AJ21)),"GHS",""))&lt;0,"",VALUE(SUBSTITUTE(UPPER(TRIM(AJ21)),"GHS",""))),"")))</f>
        <v>206.94</v>
      </c>
      <c r="AL21" t="s">
        <v>225</v>
      </c>
      <c r="AM21">
        <f t="shared" si="12"/>
        <v>206.94</v>
      </c>
      <c r="AN21" t="s">
        <v>95</v>
      </c>
      <c r="AO21" t="str">
        <f t="shared" si="13"/>
        <v>Pending</v>
      </c>
      <c r="AP21">
        <f>IF(OR(MessyClinicPatients[[#This Row],[Clean Total Bill]]="",MessyClinicPatients[[#This Row],[Clean Amount Paid]]=""),"",MessyClinicPatients[[#This Row],[Clean Total Bill]]-MessyClinicPatients[[#This Row],[Clean Amount Paid]])</f>
        <v>0</v>
      </c>
      <c r="AQ21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21" t="s">
        <v>83</v>
      </c>
      <c r="AS21" t="str">
        <f t="shared" si="14"/>
        <v>Dr. Patel</v>
      </c>
      <c r="AT21" t="s">
        <v>40</v>
      </c>
      <c r="AU21" t="str">
        <f t="shared" si="15"/>
        <v>Needs Follow-Up</v>
      </c>
    </row>
    <row r="22" spans="1:47" ht="18" customHeight="1">
      <c r="A22" t="s">
        <v>226</v>
      </c>
      <c r="B22" t="str">
        <f t="shared" si="0"/>
        <v>P-0021</v>
      </c>
      <c r="C22" t="s">
        <v>109</v>
      </c>
      <c r="D22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David</v>
      </c>
      <c r="E22" t="s">
        <v>189</v>
      </c>
      <c r="F22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Mensah</v>
      </c>
      <c r="H22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22" t="s">
        <v>163</v>
      </c>
      <c r="J22" t="str">
        <f t="shared" si="1"/>
        <v>Male</v>
      </c>
      <c r="L22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22" t="s">
        <v>61</v>
      </c>
      <c r="N22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Invalid Phone</v>
      </c>
      <c r="O22" t="s">
        <v>27</v>
      </c>
      <c r="P22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22" t="s">
        <v>227</v>
      </c>
      <c r="R22" t="str">
        <f t="shared" si="2"/>
        <v>accra</v>
      </c>
      <c r="S22" t="s">
        <v>228</v>
      </c>
      <c r="T22" s="8">
        <f>IF(S22="","",IF(ISNUMBER(S22),S22,IF(AND(LEN(S22)=10,MID(S22,5,1)="-"),IFERROR(DATE(VALUE(LEFT(S22,4)),VALUE(MID(S22,6,2)),VALUE(RIGHT(S22,2))),"Invalid Date"),IF(AND(LEN(S22)=10,MID(S22,3,1)="/"),IFERROR(DATE(VALUE(RIGHT(S22,4)),VALUE(MID(S22,4,2)),VALUE(LEFT(S22,2))),"Invalid Date"),IF(AND(LEN(S22)=10,MID(S22,5,1)="/"),"Invalid Date",IFERROR(DATE(VALUE(RIGHT(S22,4)),MATCH(LEFT(S22,3),{"Jan","Feb","Mar","Apr","May","Jun","Jul","Aug","Sep","Oct","Nov","Dec"},0),VALUE(MID(S22,5,FIND(",",S22)-5))),"Invalid Date"))))))</f>
        <v>46137</v>
      </c>
      <c r="U22" t="s">
        <v>48</v>
      </c>
      <c r="V22" t="str">
        <f t="shared" si="3"/>
        <v>Routine Checkup</v>
      </c>
      <c r="W22" t="s">
        <v>229</v>
      </c>
      <c r="X22" t="str">
        <f t="shared" si="4"/>
        <v>Flu</v>
      </c>
      <c r="Y22" t="s">
        <v>230</v>
      </c>
      <c r="Z22" t="str">
        <f t="shared" si="5"/>
        <v/>
      </c>
      <c r="AA22" t="str">
        <f t="shared" si="6"/>
        <v>Missing</v>
      </c>
      <c r="AB22" t="s">
        <v>33</v>
      </c>
      <c r="AC22" s="6" t="str">
        <f t="shared" si="7"/>
        <v/>
      </c>
      <c r="AD22" s="6" t="str">
        <f t="shared" si="8"/>
        <v>Missing</v>
      </c>
      <c r="AE22" t="s">
        <v>204</v>
      </c>
      <c r="AF22" t="str">
        <f t="shared" si="9"/>
        <v/>
      </c>
      <c r="AG22" t="str">
        <f t="shared" si="10"/>
        <v>Missing</v>
      </c>
      <c r="AH22" t="s">
        <v>114</v>
      </c>
      <c r="AI22" t="str">
        <f t="shared" si="11"/>
        <v>NHIS</v>
      </c>
      <c r="AJ22" s="5" t="s">
        <v>231</v>
      </c>
      <c r="AK22">
        <f>IF(TRIM(AJ22)="","",IF(LOWER(TRIM(AJ22))="one hundred",100,IFERROR(IF(VALUE(SUBSTITUTE(UPPER(TRIM(AJ22)),"GHS",""))&lt;0,"",VALUE(SUBSTITUTE(UPPER(TRIM(AJ22)),"GHS",""))),"")))</f>
        <v>73.97</v>
      </c>
      <c r="AL22" t="s">
        <v>116</v>
      </c>
      <c r="AM22" t="str">
        <f t="shared" si="12"/>
        <v/>
      </c>
      <c r="AN22" t="s">
        <v>147</v>
      </c>
      <c r="AO22" t="str">
        <f t="shared" si="13"/>
        <v>Paid</v>
      </c>
      <c r="AP22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22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22" t="s">
        <v>54</v>
      </c>
      <c r="AS22" t="str">
        <f t="shared" si="14"/>
        <v>Dr. Lee</v>
      </c>
      <c r="AT22" t="s">
        <v>171</v>
      </c>
      <c r="AU22" t="str">
        <f t="shared" si="15"/>
        <v>Allergy: Penicillin</v>
      </c>
    </row>
    <row r="23" spans="1:47" ht="18" customHeight="1">
      <c r="A23" t="s">
        <v>232</v>
      </c>
      <c r="B23" t="str">
        <f t="shared" si="0"/>
        <v>P-0022</v>
      </c>
      <c r="C23" t="s">
        <v>233</v>
      </c>
      <c r="D23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Joseph</v>
      </c>
      <c r="E23" t="s">
        <v>23</v>
      </c>
      <c r="F23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Adebayo</v>
      </c>
      <c r="H23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23" t="s">
        <v>234</v>
      </c>
      <c r="J23" t="str">
        <f t="shared" si="1"/>
        <v>Male</v>
      </c>
      <c r="L23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N23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23" t="s">
        <v>235</v>
      </c>
      <c r="P23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joseph.adebayo@email.com</v>
      </c>
      <c r="Q23" t="s">
        <v>132</v>
      </c>
      <c r="R23" t="str">
        <f t="shared" si="2"/>
        <v>Kano</v>
      </c>
      <c r="S23" t="s">
        <v>236</v>
      </c>
      <c r="T23" s="8">
        <f>IF(S23="","",IF(ISNUMBER(S23),S23,IF(AND(LEN(S23)=10,MID(S23,5,1)="-"),IFERROR(DATE(VALUE(LEFT(S23,4)),VALUE(MID(S23,6,2)),VALUE(RIGHT(S23,2))),"Invalid Date"),IF(AND(LEN(S23)=10,MID(S23,3,1)="/"),IFERROR(DATE(VALUE(RIGHT(S23,4)),VALUE(MID(S23,4,2)),VALUE(LEFT(S23,2))),"Invalid Date"),IF(AND(LEN(S23)=10,MID(S23,5,1)="/"),"Invalid Date",IFERROR(DATE(VALUE(RIGHT(S23,4)),MATCH(LEFT(S23,3),{"Jan","Feb","Mar","Apr","May","Jun","Jul","Aug","Sep","Oct","Nov","Dec"},0),VALUE(MID(S23,5,FIND(",",S23)-5))),"Invalid Date"))))))</f>
        <v>46072</v>
      </c>
      <c r="U23" t="s">
        <v>30</v>
      </c>
      <c r="V23" t="str">
        <f t="shared" si="3"/>
        <v>Vaccination</v>
      </c>
      <c r="W23" t="s">
        <v>78</v>
      </c>
      <c r="X23" t="str">
        <f t="shared" si="4"/>
        <v>Back Pain</v>
      </c>
      <c r="Y23" t="s">
        <v>237</v>
      </c>
      <c r="Z23" t="str">
        <f t="shared" si="5"/>
        <v>163/68</v>
      </c>
      <c r="AA23" t="str">
        <f t="shared" si="6"/>
        <v>Valid</v>
      </c>
      <c r="AC23" s="6" t="str">
        <f t="shared" si="7"/>
        <v/>
      </c>
      <c r="AD23" s="6" t="str">
        <f t="shared" si="8"/>
        <v>Missing</v>
      </c>
      <c r="AE23" t="s">
        <v>238</v>
      </c>
      <c r="AF23" t="str">
        <f t="shared" si="9"/>
        <v/>
      </c>
      <c r="AG23" t="str">
        <f t="shared" si="10"/>
        <v>Missing</v>
      </c>
      <c r="AH23" t="s">
        <v>176</v>
      </c>
      <c r="AI23" t="str">
        <f t="shared" si="11"/>
        <v/>
      </c>
      <c r="AJ23" s="5" t="s">
        <v>239</v>
      </c>
      <c r="AK23">
        <f>IF(TRIM(AJ23)="","",IF(LOWER(TRIM(AJ23))="one hundred",100,IFERROR(IF(VALUE(SUBSTITUTE(UPPER(TRIM(AJ23)),"GHS",""))&lt;0,"",VALUE(SUBSTITUTE(UPPER(TRIM(AJ23)),"GHS",""))),"")))</f>
        <v>151.94</v>
      </c>
      <c r="AL23" t="s">
        <v>239</v>
      </c>
      <c r="AM23">
        <f t="shared" si="12"/>
        <v>151.94</v>
      </c>
      <c r="AN23" t="s">
        <v>137</v>
      </c>
      <c r="AO23" t="str">
        <f t="shared" si="13"/>
        <v>Unpaid</v>
      </c>
      <c r="AP23">
        <f>IF(OR(MessyClinicPatients[[#This Row],[Clean Total Bill]]="",MessyClinicPatients[[#This Row],[Clean Amount Paid]]=""),"",MessyClinicPatients[[#This Row],[Clean Total Bill]]-MessyClinicPatients[[#This Row],[Clean Amount Paid]])</f>
        <v>0</v>
      </c>
      <c r="AQ23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23" t="s">
        <v>148</v>
      </c>
      <c r="AS23" t="str">
        <f t="shared" si="14"/>
        <v>Dr. Mensah</v>
      </c>
      <c r="AU23" t="str">
        <f t="shared" si="15"/>
        <v/>
      </c>
    </row>
    <row r="24" spans="1:47" ht="18" customHeight="1">
      <c r="A24" t="s">
        <v>240</v>
      </c>
      <c r="B24" t="str">
        <f t="shared" si="0"/>
        <v>P-0023</v>
      </c>
      <c r="C24" t="s">
        <v>241</v>
      </c>
      <c r="D24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Aisha</v>
      </c>
      <c r="E24" t="s">
        <v>242</v>
      </c>
      <c r="F24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Bello</v>
      </c>
      <c r="G24" s="9">
        <v>15</v>
      </c>
      <c r="H24" t="str">
        <f>IF(OR(MessyClinicPatients[[#This Row],[Age]]="",MessyClinicPatients[[#This Row],[Age]]="unknown"),"Missing",IF(OR(MessyClinicPatients[[#This Row],[Age]]&lt;0,MessyClinicPatients[[#This Row],[Age]]&gt;120),"Invalid Age","Valid"))</f>
        <v>Valid</v>
      </c>
      <c r="I24" t="s">
        <v>183</v>
      </c>
      <c r="J24" t="str">
        <f t="shared" si="1"/>
        <v>Male</v>
      </c>
      <c r="K24" t="s">
        <v>244</v>
      </c>
      <c r="L24" s="8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40837</v>
      </c>
      <c r="N24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24" t="s">
        <v>27</v>
      </c>
      <c r="P24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24" t="s">
        <v>227</v>
      </c>
      <c r="R24" t="str">
        <f t="shared" si="2"/>
        <v>accra</v>
      </c>
      <c r="S24" t="s">
        <v>92</v>
      </c>
      <c r="T24" s="8" t="str">
        <f>IF(S24="","",IF(ISNUMBER(S24),S24,IF(AND(LEN(S24)=10,MID(S24,5,1)="-"),IFERROR(DATE(VALUE(LEFT(S24,4)),VALUE(MID(S24,6,2)),VALUE(RIGHT(S24,2))),"Invalid Date"),IF(AND(LEN(S24)=10,MID(S24,3,1)="/"),IFERROR(DATE(VALUE(RIGHT(S24,4)),VALUE(MID(S24,4,2)),VALUE(LEFT(S24,2))),"Invalid Date"),IF(AND(LEN(S24)=10,MID(S24,5,1)="/"),"Invalid Date",IFERROR(DATE(VALUE(RIGHT(S24,4)),MATCH(LEFT(S24,3),{"Jan","Feb","Mar","Apr","May","Jun","Jul","Aug","Sep","Oct","Nov","Dec"},0),VALUE(MID(S24,5,FIND(",",S24)-5))),"Invalid Date"))))))</f>
        <v>Invalid Date</v>
      </c>
      <c r="U24" t="s">
        <v>134</v>
      </c>
      <c r="V24" t="str">
        <f t="shared" si="3"/>
        <v>Follow-up</v>
      </c>
      <c r="W24" t="s">
        <v>224</v>
      </c>
      <c r="X24" t="str">
        <f t="shared" si="4"/>
        <v>Diabetes</v>
      </c>
      <c r="Y24" t="s">
        <v>179</v>
      </c>
      <c r="Z24" t="str">
        <f t="shared" si="5"/>
        <v/>
      </c>
      <c r="AA24" t="str">
        <f t="shared" si="6"/>
        <v>Missing</v>
      </c>
      <c r="AB24" t="s">
        <v>245</v>
      </c>
      <c r="AC24" s="6">
        <f t="shared" si="7"/>
        <v>37.944444444444443</v>
      </c>
      <c r="AD24" s="6" t="str">
        <f t="shared" si="8"/>
        <v>Fahrenheit Converted</v>
      </c>
      <c r="AE24" t="s">
        <v>204</v>
      </c>
      <c r="AF24" t="str">
        <f t="shared" si="9"/>
        <v/>
      </c>
      <c r="AG24" t="str">
        <f t="shared" si="10"/>
        <v>Missing</v>
      </c>
      <c r="AH24" t="s">
        <v>35</v>
      </c>
      <c r="AI24" t="str">
        <f t="shared" si="11"/>
        <v>Corporate</v>
      </c>
      <c r="AJ24" s="5" t="s">
        <v>246</v>
      </c>
      <c r="AK24">
        <f>IF(TRIM(AJ24)="","",IF(LOWER(TRIM(AJ24))="one hundred",100,IFERROR(IF(VALUE(SUBSTITUTE(UPPER(TRIM(AJ24)),"GHS",""))&lt;0,"",VALUE(SUBSTITUTE(UPPER(TRIM(AJ24)),"GHS",""))),"")))</f>
        <v>478.63</v>
      </c>
      <c r="AL24" t="s">
        <v>37</v>
      </c>
      <c r="AM24">
        <f t="shared" si="12"/>
        <v>100</v>
      </c>
      <c r="AN24" t="s">
        <v>38</v>
      </c>
      <c r="AO24" t="str">
        <f t="shared" si="13"/>
        <v>Partially Paid</v>
      </c>
      <c r="AP24">
        <f>IF(OR(MessyClinicPatients[[#This Row],[Clean Total Bill]]="",MessyClinicPatients[[#This Row],[Clean Amount Paid]]=""),"",MessyClinicPatients[[#This Row],[Clean Total Bill]]-MessyClinicPatients[[#This Row],[Clean Amount Paid]])</f>
        <v>378.63</v>
      </c>
      <c r="AQ24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24" t="s">
        <v>39</v>
      </c>
      <c r="AS24" t="str">
        <f t="shared" si="14"/>
        <v>Dr. Okoro</v>
      </c>
      <c r="AU24" t="str">
        <f t="shared" si="15"/>
        <v/>
      </c>
    </row>
    <row r="25" spans="1:47" ht="18" customHeight="1">
      <c r="A25" t="s">
        <v>247</v>
      </c>
      <c r="B25" t="str">
        <f t="shared" si="0"/>
        <v>P-0024</v>
      </c>
      <c r="C25" t="s">
        <v>173</v>
      </c>
      <c r="D25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Chinedu</v>
      </c>
      <c r="E25" t="s">
        <v>162</v>
      </c>
      <c r="F25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Johnson</v>
      </c>
      <c r="G25" s="9">
        <v>130</v>
      </c>
      <c r="H25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25" t="s">
        <v>88</v>
      </c>
      <c r="J25" t="str">
        <f t="shared" si="1"/>
        <v>Female</v>
      </c>
      <c r="L25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25" t="s">
        <v>249</v>
      </c>
      <c r="N25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6618058699</v>
      </c>
      <c r="O25" t="s">
        <v>250</v>
      </c>
      <c r="P25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Q25" t="s">
        <v>46</v>
      </c>
      <c r="R25" t="str">
        <f t="shared" si="2"/>
        <v>Tema</v>
      </c>
      <c r="S25" t="s">
        <v>251</v>
      </c>
      <c r="T25" s="8">
        <f>IF(S25="","",IF(ISNUMBER(S25),S25,IF(AND(LEN(S25)=10,MID(S25,5,1)="-"),IFERROR(DATE(VALUE(LEFT(S25,4)),VALUE(MID(S25,6,2)),VALUE(RIGHT(S25,2))),"Invalid Date"),IF(AND(LEN(S25)=10,MID(S25,3,1)="/"),IFERROR(DATE(VALUE(RIGHT(S25,4)),VALUE(MID(S25,4,2)),VALUE(LEFT(S25,2))),"Invalid Date"),IF(AND(LEN(S25)=10,MID(S25,5,1)="/"),"Invalid Date",IFERROR(DATE(VALUE(RIGHT(S25,4)),MATCH(LEFT(S25,3),{"Jan","Feb","Mar","Apr","May","Jun","Jul","Aug","Sep","Oct","Nov","Dec"},0),VALUE(MID(S25,5,FIND(",",S25)-5))),"Invalid Date"))))))</f>
        <v>46096</v>
      </c>
      <c r="U25" t="s">
        <v>77</v>
      </c>
      <c r="V25" t="str">
        <f t="shared" si="3"/>
        <v>Emergency</v>
      </c>
      <c r="W25" t="s">
        <v>103</v>
      </c>
      <c r="X25" t="str">
        <f t="shared" si="4"/>
        <v>Diabetes</v>
      </c>
      <c r="Y25" t="s">
        <v>252</v>
      </c>
      <c r="Z25" t="str">
        <f t="shared" si="5"/>
        <v/>
      </c>
      <c r="AA25" t="str">
        <f t="shared" si="6"/>
        <v>Missing</v>
      </c>
      <c r="AB25" t="s">
        <v>253</v>
      </c>
      <c r="AC25" s="6">
        <f t="shared" si="7"/>
        <v>39.666666666666664</v>
      </c>
      <c r="AD25" s="6" t="str">
        <f t="shared" si="8"/>
        <v>Fahrenheit Converted</v>
      </c>
      <c r="AF25" t="str">
        <f t="shared" si="9"/>
        <v/>
      </c>
      <c r="AG25" t="str">
        <f t="shared" si="10"/>
        <v>Missing</v>
      </c>
      <c r="AH25" t="s">
        <v>81</v>
      </c>
      <c r="AI25" t="str">
        <f t="shared" si="11"/>
        <v>NHIS</v>
      </c>
      <c r="AJ25" s="5" t="s">
        <v>254</v>
      </c>
      <c r="AK25">
        <f>IF(TRIM(AJ25)="","",IF(LOWER(TRIM(AJ25))="one hundred",100,IFERROR(IF(VALUE(SUBSTITUTE(UPPER(TRIM(AJ25)),"GHS",""))&lt;0,"",VALUE(SUBSTITUTE(UPPER(TRIM(AJ25)),"GHS",""))),"")))</f>
        <v>427.73</v>
      </c>
      <c r="AL25" t="s">
        <v>116</v>
      </c>
      <c r="AM25" t="str">
        <f t="shared" si="12"/>
        <v/>
      </c>
      <c r="AN25" t="s">
        <v>38</v>
      </c>
      <c r="AO25" t="str">
        <f t="shared" si="13"/>
        <v>Partially Paid</v>
      </c>
      <c r="AP25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25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25" t="s">
        <v>83</v>
      </c>
      <c r="AS25" t="str">
        <f t="shared" si="14"/>
        <v>Dr. Patel</v>
      </c>
      <c r="AT25" t="s">
        <v>159</v>
      </c>
      <c r="AU25" t="str">
        <f t="shared" si="15"/>
        <v>Missing Lab Results</v>
      </c>
    </row>
    <row r="26" spans="1:47" ht="18" customHeight="1">
      <c r="A26" t="s">
        <v>255</v>
      </c>
      <c r="B26" t="str">
        <f t="shared" si="0"/>
        <v>P-1025</v>
      </c>
      <c r="C26" t="s">
        <v>119</v>
      </c>
      <c r="D26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Peter</v>
      </c>
      <c r="E26" t="s">
        <v>23</v>
      </c>
      <c r="F26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Adebayo</v>
      </c>
      <c r="G26" t="s">
        <v>24</v>
      </c>
      <c r="H26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26" t="s">
        <v>88</v>
      </c>
      <c r="J26" t="str">
        <f t="shared" si="1"/>
        <v>Female</v>
      </c>
      <c r="L26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26" t="s">
        <v>176</v>
      </c>
      <c r="N26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P26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26" t="s">
        <v>132</v>
      </c>
      <c r="R26" t="str">
        <f t="shared" si="2"/>
        <v>Kano</v>
      </c>
      <c r="S26" t="s">
        <v>256</v>
      </c>
      <c r="T26" s="8">
        <f>IF(S26="","",IF(ISNUMBER(S26),S26,IF(AND(LEN(S26)=10,MID(S26,5,1)="-"),IFERROR(DATE(VALUE(LEFT(S26,4)),VALUE(MID(S26,6,2)),VALUE(RIGHT(S26,2))),"Invalid Date"),IF(AND(LEN(S26)=10,MID(S26,3,1)="/"),IFERROR(DATE(VALUE(RIGHT(S26,4)),VALUE(MID(S26,4,2)),VALUE(LEFT(S26,2))),"Invalid Date"),IF(AND(LEN(S26)=10,MID(S26,5,1)="/"),"Invalid Date",IFERROR(DATE(VALUE(RIGHT(S26,4)),MATCH(LEFT(S26,3),{"Jan","Feb","Mar","Apr","May","Jun","Jul","Aug","Sep","Oct","Nov","Dec"},0),VALUE(MID(S26,5,FIND(",",S26)-5))),"Invalid Date"))))))</f>
        <v>46177</v>
      </c>
      <c r="U26" t="s">
        <v>111</v>
      </c>
      <c r="V26" t="str">
        <f t="shared" si="3"/>
        <v>Follow-up</v>
      </c>
      <c r="W26" t="s">
        <v>49</v>
      </c>
      <c r="X26" t="str">
        <f t="shared" si="4"/>
        <v>None</v>
      </c>
      <c r="Z26" t="str">
        <f t="shared" si="5"/>
        <v/>
      </c>
      <c r="AA26" t="str">
        <f t="shared" si="6"/>
        <v>Missing</v>
      </c>
      <c r="AC26" s="6" t="str">
        <f t="shared" si="7"/>
        <v/>
      </c>
      <c r="AD26" s="6" t="str">
        <f t="shared" si="8"/>
        <v>Missing</v>
      </c>
      <c r="AE26" t="s">
        <v>238</v>
      </c>
      <c r="AF26" t="str">
        <f t="shared" si="9"/>
        <v/>
      </c>
      <c r="AG26" t="str">
        <f t="shared" si="10"/>
        <v>Missing</v>
      </c>
      <c r="AH26" t="s">
        <v>176</v>
      </c>
      <c r="AI26" t="str">
        <f t="shared" si="11"/>
        <v/>
      </c>
      <c r="AJ26" s="5" t="s">
        <v>257</v>
      </c>
      <c r="AK26">
        <f>IF(TRIM(AJ26)="","",IF(LOWER(TRIM(AJ26))="one hundred",100,IFERROR(IF(VALUE(SUBSTITUTE(UPPER(TRIM(AJ26)),"GHS",""))&lt;0,"",VALUE(SUBSTITUTE(UPPER(TRIM(AJ26)),"GHS",""))),"")))</f>
        <v>35</v>
      </c>
      <c r="AL26" t="s">
        <v>116</v>
      </c>
      <c r="AM26" t="str">
        <f t="shared" si="12"/>
        <v/>
      </c>
      <c r="AN26" t="s">
        <v>68</v>
      </c>
      <c r="AO26" t="str">
        <f t="shared" si="13"/>
        <v>Paid</v>
      </c>
      <c r="AP26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26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26" t="s">
        <v>69</v>
      </c>
      <c r="AS26" t="str">
        <f t="shared" si="14"/>
        <v>Dr. Mensah</v>
      </c>
      <c r="AT26" t="s">
        <v>171</v>
      </c>
      <c r="AU26" t="str">
        <f t="shared" si="15"/>
        <v>Allergy: Penicillin</v>
      </c>
    </row>
    <row r="27" spans="1:47" ht="18" customHeight="1">
      <c r="A27" t="s">
        <v>258</v>
      </c>
      <c r="B27" t="str">
        <f t="shared" si="0"/>
        <v>P-0026</v>
      </c>
      <c r="C27" t="s">
        <v>259</v>
      </c>
      <c r="D27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Sarah</v>
      </c>
      <c r="E27" t="s">
        <v>260</v>
      </c>
      <c r="F27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Acheampong</v>
      </c>
      <c r="G27" s="9">
        <v>42</v>
      </c>
      <c r="H27" t="str">
        <f>IF(OR(MessyClinicPatients[[#This Row],[Age]]="",MessyClinicPatients[[#This Row],[Age]]="unknown"),"Missing",IF(OR(MessyClinicPatients[[#This Row],[Age]]&lt;0,MessyClinicPatients[[#This Row],[Age]]&gt;120),"Invalid Age","Valid"))</f>
        <v>Valid</v>
      </c>
      <c r="I27" t="s">
        <v>74</v>
      </c>
      <c r="J27" t="str">
        <f t="shared" si="1"/>
        <v>Female</v>
      </c>
      <c r="K27" t="s">
        <v>262</v>
      </c>
      <c r="L27" s="8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30520</v>
      </c>
      <c r="M27" t="s">
        <v>263</v>
      </c>
      <c r="N27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6651906153</v>
      </c>
      <c r="O27" t="s">
        <v>264</v>
      </c>
      <c r="P27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sarah.acheampong@email.com</v>
      </c>
      <c r="Q27" t="s">
        <v>63</v>
      </c>
      <c r="R27" t="str">
        <f t="shared" si="2"/>
        <v>Tamale</v>
      </c>
      <c r="S27" t="s">
        <v>92</v>
      </c>
      <c r="T27" s="8" t="str">
        <f>IF(S27="","",IF(ISNUMBER(S27),S27,IF(AND(LEN(S27)=10,MID(S27,5,1)="-"),IFERROR(DATE(VALUE(LEFT(S27,4)),VALUE(MID(S27,6,2)),VALUE(RIGHT(S27,2))),"Invalid Date"),IF(AND(LEN(S27)=10,MID(S27,3,1)="/"),IFERROR(DATE(VALUE(RIGHT(S27,4)),VALUE(MID(S27,4,2)),VALUE(LEFT(S27,2))),"Invalid Date"),IF(AND(LEN(S27)=10,MID(S27,5,1)="/"),"Invalid Date",IFERROR(DATE(VALUE(RIGHT(S27,4)),MATCH(LEFT(S27,3),{"Jan","Feb","Mar","Apr","May","Jun","Jul","Aug","Sep","Oct","Nov","Dec"},0),VALUE(MID(S27,5,FIND(",",S27)-5))),"Invalid Date"))))))</f>
        <v>Invalid Date</v>
      </c>
      <c r="U27" t="s">
        <v>77</v>
      </c>
      <c r="V27" t="str">
        <f t="shared" si="3"/>
        <v>Emergency</v>
      </c>
      <c r="W27" t="s">
        <v>229</v>
      </c>
      <c r="X27" t="str">
        <f t="shared" si="4"/>
        <v>Flu</v>
      </c>
      <c r="Y27" t="s">
        <v>145</v>
      </c>
      <c r="Z27" t="str">
        <f t="shared" si="5"/>
        <v>120/80</v>
      </c>
      <c r="AA27" t="str">
        <f t="shared" si="6"/>
        <v>Valid</v>
      </c>
      <c r="AB27" t="s">
        <v>265</v>
      </c>
      <c r="AC27" s="6">
        <f t="shared" si="7"/>
        <v>38.111111111111114</v>
      </c>
      <c r="AD27" s="6" t="str">
        <f t="shared" si="8"/>
        <v>Fahrenheit Converted</v>
      </c>
      <c r="AE27" t="s">
        <v>266</v>
      </c>
      <c r="AF27">
        <f t="shared" si="9"/>
        <v>76.2</v>
      </c>
      <c r="AG27" t="str">
        <f t="shared" si="10"/>
        <v>Valid</v>
      </c>
      <c r="AH27" t="s">
        <v>176</v>
      </c>
      <c r="AI27" t="str">
        <f t="shared" si="11"/>
        <v/>
      </c>
      <c r="AJ27" s="5" t="s">
        <v>267</v>
      </c>
      <c r="AK27">
        <f>IF(TRIM(AJ27)="","",IF(LOWER(TRIM(AJ27))="one hundred",100,IFERROR(IF(VALUE(SUBSTITUTE(UPPER(TRIM(AJ27)),"GHS",""))&lt;0,"",VALUE(SUBSTITUTE(UPPER(TRIM(AJ27)),"GHS",""))),"")))</f>
        <v>498.46</v>
      </c>
      <c r="AL27" t="s">
        <v>37</v>
      </c>
      <c r="AM27">
        <f t="shared" si="12"/>
        <v>100</v>
      </c>
      <c r="AN27" t="s">
        <v>68</v>
      </c>
      <c r="AO27" t="str">
        <f t="shared" si="13"/>
        <v>Paid</v>
      </c>
      <c r="AP27">
        <f>IF(OR(MessyClinicPatients[[#This Row],[Clean Total Bill]]="",MessyClinicPatients[[#This Row],[Clean Amount Paid]]=""),"",MessyClinicPatients[[#This Row],[Clean Total Bill]]-MessyClinicPatients[[#This Row],[Clean Amount Paid]])</f>
        <v>398.46</v>
      </c>
      <c r="AQ27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27" t="s">
        <v>39</v>
      </c>
      <c r="AS27" t="str">
        <f t="shared" si="14"/>
        <v>Dr. Okoro</v>
      </c>
      <c r="AT27" t="s">
        <v>40</v>
      </c>
      <c r="AU27" t="str">
        <f t="shared" si="15"/>
        <v>Needs Follow-Up</v>
      </c>
    </row>
    <row r="28" spans="1:47" ht="18" customHeight="1">
      <c r="A28" t="s">
        <v>268</v>
      </c>
      <c r="B28" t="str">
        <f t="shared" si="0"/>
        <v>P-0027</v>
      </c>
      <c r="C28" t="s">
        <v>218</v>
      </c>
      <c r="D28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Ama</v>
      </c>
      <c r="E28" t="s">
        <v>269</v>
      </c>
      <c r="F28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Kamara</v>
      </c>
      <c r="H28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28" t="s">
        <v>163</v>
      </c>
      <c r="J28" t="str">
        <f t="shared" si="1"/>
        <v>Male</v>
      </c>
      <c r="L28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28" t="s">
        <v>176</v>
      </c>
      <c r="N28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28" t="s">
        <v>270</v>
      </c>
      <c r="P28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Q28" t="s">
        <v>63</v>
      </c>
      <c r="R28" t="str">
        <f t="shared" si="2"/>
        <v>Tamale</v>
      </c>
      <c r="S28" t="s">
        <v>271</v>
      </c>
      <c r="T28" s="8">
        <f>IF(S28="","",IF(ISNUMBER(S28),S28,IF(AND(LEN(S28)=10,MID(S28,5,1)="-"),IFERROR(DATE(VALUE(LEFT(S28,4)),VALUE(MID(S28,6,2)),VALUE(RIGHT(S28,2))),"Invalid Date"),IF(AND(LEN(S28)=10,MID(S28,3,1)="/"),IFERROR(DATE(VALUE(RIGHT(S28,4)),VALUE(MID(S28,4,2)),VALUE(LEFT(S28,2))),"Invalid Date"),IF(AND(LEN(S28)=10,MID(S28,5,1)="/"),"Invalid Date",IFERROR(DATE(VALUE(RIGHT(S28,4)),MATCH(LEFT(S28,3),{"Jan","Feb","Mar","Apr","May","Jun","Jul","Aug","Sep","Oct","Nov","Dec"},0),VALUE(MID(S28,5,FIND(",",S28)-5))),"Invalid Date"))))))</f>
        <v>46150</v>
      </c>
      <c r="U28" t="s">
        <v>30</v>
      </c>
      <c r="V28" t="str">
        <f t="shared" si="3"/>
        <v>Vaccination</v>
      </c>
      <c r="X28" t="str">
        <f t="shared" si="4"/>
        <v/>
      </c>
      <c r="Y28" t="s">
        <v>272</v>
      </c>
      <c r="Z28" t="str">
        <f t="shared" si="5"/>
        <v/>
      </c>
      <c r="AA28" t="str">
        <f t="shared" si="6"/>
        <v>Missing</v>
      </c>
      <c r="AC28" s="6" t="str">
        <f t="shared" si="7"/>
        <v/>
      </c>
      <c r="AD28" s="6" t="str">
        <f t="shared" si="8"/>
        <v>Missing</v>
      </c>
      <c r="AE28" t="s">
        <v>80</v>
      </c>
      <c r="AF28">
        <f t="shared" si="9"/>
        <v>80</v>
      </c>
      <c r="AG28" t="str">
        <f t="shared" si="10"/>
        <v>Valid</v>
      </c>
      <c r="AH28" t="s">
        <v>81</v>
      </c>
      <c r="AI28" t="str">
        <f t="shared" si="11"/>
        <v>NHIS</v>
      </c>
      <c r="AJ28" s="5" t="s">
        <v>273</v>
      </c>
      <c r="AK28">
        <f>IF(TRIM(AJ28)="","",IF(LOWER(TRIM(AJ28))="one hundred",100,IFERROR(IF(VALUE(SUBSTITUTE(UPPER(TRIM(AJ28)),"GHS",""))&lt;0,"",VALUE(SUBSTITUTE(UPPER(TRIM(AJ28)),"GHS",""))),"")))</f>
        <v>315.14999999999998</v>
      </c>
      <c r="AM28" t="str">
        <f t="shared" si="12"/>
        <v/>
      </c>
      <c r="AN28" t="s">
        <v>38</v>
      </c>
      <c r="AO28" t="str">
        <f t="shared" si="13"/>
        <v>Partially Paid</v>
      </c>
      <c r="AP28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28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28" t="s">
        <v>211</v>
      </c>
      <c r="AS28" t="str">
        <f t="shared" si="14"/>
        <v>Nurse Ama</v>
      </c>
      <c r="AT28" t="s">
        <v>274</v>
      </c>
      <c r="AU28" t="str">
        <f t="shared" si="15"/>
        <v>Repeated Record?</v>
      </c>
    </row>
    <row r="29" spans="1:47" ht="18" customHeight="1">
      <c r="A29" t="s">
        <v>275</v>
      </c>
      <c r="B29" t="str">
        <f t="shared" si="0"/>
        <v>P-1028</v>
      </c>
      <c r="C29" t="s">
        <v>276</v>
      </c>
      <c r="D29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Yusuf</v>
      </c>
      <c r="E29" t="s">
        <v>72</v>
      </c>
      <c r="F29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Owusu</v>
      </c>
      <c r="G29" s="9">
        <v>130</v>
      </c>
      <c r="H29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29" t="s">
        <v>59</v>
      </c>
      <c r="J29" t="str">
        <f t="shared" si="1"/>
        <v>Female</v>
      </c>
      <c r="L29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29" t="s">
        <v>61</v>
      </c>
      <c r="N29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Invalid Phone</v>
      </c>
      <c r="O29" t="s">
        <v>277</v>
      </c>
      <c r="P29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yusuf_owusu@clinicmail.org</v>
      </c>
      <c r="Q29" t="s">
        <v>132</v>
      </c>
      <c r="R29" t="str">
        <f t="shared" si="2"/>
        <v>Kano</v>
      </c>
      <c r="S29" t="s">
        <v>278</v>
      </c>
      <c r="T29" s="8">
        <f>IF(S29="","",IF(ISNUMBER(S29),S29,IF(AND(LEN(S29)=10,MID(S29,5,1)="-"),IFERROR(DATE(VALUE(LEFT(S29,4)),VALUE(MID(S29,6,2)),VALUE(RIGHT(S29,2))),"Invalid Date"),IF(AND(LEN(S29)=10,MID(S29,3,1)="/"),IFERROR(DATE(VALUE(RIGHT(S29,4)),VALUE(MID(S29,4,2)),VALUE(LEFT(S29,2))),"Invalid Date"),IF(AND(LEN(S29)=10,MID(S29,5,1)="/"),"Invalid Date",IFERROR(DATE(VALUE(RIGHT(S29,4)),MATCH(LEFT(S29,3),{"Jan","Feb","Mar","Apr","May","Jun","Jul","Aug","Sep","Oct","Nov","Dec"},0),VALUE(MID(S29,5,FIND(",",S29)-5))),"Invalid Date"))))))</f>
        <v>46121</v>
      </c>
      <c r="U29" t="s">
        <v>102</v>
      </c>
      <c r="V29" t="str">
        <f t="shared" si="3"/>
        <v>Consultation</v>
      </c>
      <c r="X29" t="str">
        <f t="shared" si="4"/>
        <v/>
      </c>
      <c r="Y29" t="s">
        <v>179</v>
      </c>
      <c r="Z29" t="str">
        <f t="shared" si="5"/>
        <v/>
      </c>
      <c r="AA29" t="str">
        <f t="shared" si="6"/>
        <v>Missing</v>
      </c>
      <c r="AC29" s="6" t="str">
        <f t="shared" si="7"/>
        <v/>
      </c>
      <c r="AD29" s="6" t="str">
        <f t="shared" si="8"/>
        <v>Missing</v>
      </c>
      <c r="AE29" t="s">
        <v>279</v>
      </c>
      <c r="AF29">
        <f t="shared" si="9"/>
        <v>61</v>
      </c>
      <c r="AG29" t="str">
        <f t="shared" si="10"/>
        <v>Valid</v>
      </c>
      <c r="AH29" t="s">
        <v>93</v>
      </c>
      <c r="AI29" t="str">
        <f t="shared" si="11"/>
        <v>Private</v>
      </c>
      <c r="AJ29" s="5" t="s">
        <v>280</v>
      </c>
      <c r="AK29">
        <f>IF(TRIM(AJ29)="","",IF(LOWER(TRIM(AJ29))="one hundred",100,IFERROR(IF(VALUE(SUBSTITUTE(UPPER(TRIM(AJ29)),"GHS",""))&lt;0,"",VALUE(SUBSTITUTE(UPPER(TRIM(AJ29)),"GHS",""))),"")))</f>
        <v>516.49</v>
      </c>
      <c r="AL29" t="s">
        <v>53</v>
      </c>
      <c r="AM29">
        <f t="shared" si="12"/>
        <v>0</v>
      </c>
      <c r="AN29" t="s">
        <v>68</v>
      </c>
      <c r="AO29" t="str">
        <f t="shared" si="13"/>
        <v>Paid</v>
      </c>
      <c r="AP29">
        <f>IF(OR(MessyClinicPatients[[#This Row],[Clean Total Bill]]="",MessyClinicPatients[[#This Row],[Clean Amount Paid]]=""),"",MessyClinicPatients[[#This Row],[Clean Total Bill]]-MessyClinicPatients[[#This Row],[Clean Amount Paid]])</f>
        <v>516.49</v>
      </c>
      <c r="AQ29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R29" t="s">
        <v>39</v>
      </c>
      <c r="AS29" t="str">
        <f t="shared" si="14"/>
        <v>Dr. Okoro</v>
      </c>
      <c r="AT29" t="s">
        <v>40</v>
      </c>
      <c r="AU29" t="str">
        <f t="shared" si="15"/>
        <v>Needs Follow-Up</v>
      </c>
    </row>
    <row r="30" spans="1:47" ht="18" customHeight="1">
      <c r="A30" t="s">
        <v>281</v>
      </c>
      <c r="B30" t="str">
        <f t="shared" si="0"/>
        <v>P-1029</v>
      </c>
      <c r="C30" t="s">
        <v>85</v>
      </c>
      <c r="D30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Ruth</v>
      </c>
      <c r="E30" t="s">
        <v>282</v>
      </c>
      <c r="F30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Cole</v>
      </c>
      <c r="H30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30" t="s">
        <v>88</v>
      </c>
      <c r="J30" t="str">
        <f t="shared" si="1"/>
        <v>Female</v>
      </c>
      <c r="L30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30" t="s">
        <v>283</v>
      </c>
      <c r="N30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6809005342</v>
      </c>
      <c r="O30" t="s">
        <v>27</v>
      </c>
      <c r="P30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30" t="s">
        <v>76</v>
      </c>
      <c r="R30" t="str">
        <f t="shared" si="2"/>
        <v>Cape Coast</v>
      </c>
      <c r="S30" t="s">
        <v>284</v>
      </c>
      <c r="T30" s="8">
        <f>IF(S30="","",IF(ISNUMBER(S30),S30,IF(AND(LEN(S30)=10,MID(S30,5,1)="-"),IFERROR(DATE(VALUE(LEFT(S30,4)),VALUE(MID(S30,6,2)),VALUE(RIGHT(S30,2))),"Invalid Date"),IF(AND(LEN(S30)=10,MID(S30,3,1)="/"),IFERROR(DATE(VALUE(RIGHT(S30,4)),VALUE(MID(S30,4,2)),VALUE(LEFT(S30,2))),"Invalid Date"),IF(AND(LEN(S30)=10,MID(S30,5,1)="/"),"Invalid Date",IFERROR(DATE(VALUE(RIGHT(S30,4)),MATCH(LEFT(S30,3),{"Jan","Feb","Mar","Apr","May","Jun","Jul","Aug","Sep","Oct","Nov","Dec"},0),VALUE(MID(S30,5,FIND(",",S30)-5))),"Invalid Date"))))))</f>
        <v>46043</v>
      </c>
      <c r="U30" t="s">
        <v>134</v>
      </c>
      <c r="V30" t="str">
        <f t="shared" si="3"/>
        <v>Follow-up</v>
      </c>
      <c r="W30" t="s">
        <v>224</v>
      </c>
      <c r="X30" t="str">
        <f t="shared" si="4"/>
        <v>Diabetes</v>
      </c>
      <c r="Y30" t="s">
        <v>179</v>
      </c>
      <c r="Z30" t="str">
        <f t="shared" si="5"/>
        <v/>
      </c>
      <c r="AA30" t="str">
        <f t="shared" si="6"/>
        <v>Missing</v>
      </c>
      <c r="AB30" t="s">
        <v>285</v>
      </c>
      <c r="AC30" s="6">
        <f t="shared" si="7"/>
        <v>39.799999999999997</v>
      </c>
      <c r="AD30" s="6" t="str">
        <f t="shared" si="8"/>
        <v>Valid</v>
      </c>
      <c r="AE30" t="s">
        <v>80</v>
      </c>
      <c r="AF30">
        <f t="shared" si="9"/>
        <v>80</v>
      </c>
      <c r="AG30" t="str">
        <f t="shared" si="10"/>
        <v>Valid</v>
      </c>
      <c r="AH30" t="s">
        <v>93</v>
      </c>
      <c r="AI30" t="str">
        <f t="shared" si="11"/>
        <v>Private</v>
      </c>
      <c r="AJ30" s="5" t="s">
        <v>286</v>
      </c>
      <c r="AK30">
        <f>IF(TRIM(AJ30)="","",IF(LOWER(TRIM(AJ30))="one hundred",100,IFERROR(IF(VALUE(SUBSTITUTE(UPPER(TRIM(AJ30)),"GHS",""))&lt;0,"",VALUE(SUBSTITUTE(UPPER(TRIM(AJ30)),"GHS",""))),"")))</f>
        <v>514.36</v>
      </c>
      <c r="AM30" t="str">
        <f t="shared" si="12"/>
        <v/>
      </c>
      <c r="AO30" t="str">
        <f t="shared" si="13"/>
        <v/>
      </c>
      <c r="AP30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30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/>
      </c>
      <c r="AR30" t="s">
        <v>83</v>
      </c>
      <c r="AS30" t="str">
        <f t="shared" si="14"/>
        <v>Dr. Patel</v>
      </c>
      <c r="AT30" t="s">
        <v>40</v>
      </c>
      <c r="AU30" t="str">
        <f t="shared" si="15"/>
        <v>Needs Follow-Up</v>
      </c>
    </row>
    <row r="31" spans="1:47" ht="18" customHeight="1">
      <c r="A31" t="s">
        <v>287</v>
      </c>
      <c r="B31" t="str">
        <f t="shared" si="0"/>
        <v>P-0030</v>
      </c>
      <c r="C31" t="s">
        <v>139</v>
      </c>
      <c r="D31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Clara</v>
      </c>
      <c r="E31" t="s">
        <v>189</v>
      </c>
      <c r="F31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Mensah</v>
      </c>
      <c r="G31" t="s">
        <v>24</v>
      </c>
      <c r="H31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31" t="s">
        <v>234</v>
      </c>
      <c r="J31" t="str">
        <f t="shared" si="1"/>
        <v>Male</v>
      </c>
      <c r="L31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N31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31" t="s">
        <v>288</v>
      </c>
      <c r="P31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clara_mensah@clinicmail.org</v>
      </c>
      <c r="Q31" t="s">
        <v>289</v>
      </c>
      <c r="R31" t="str">
        <f t="shared" si="2"/>
        <v>Enugu</v>
      </c>
      <c r="S31" t="s">
        <v>290</v>
      </c>
      <c r="T31" s="8">
        <f>IF(S31="","",IF(ISNUMBER(S31),S31,IF(AND(LEN(S31)=10,MID(S31,5,1)="-"),IFERROR(DATE(VALUE(LEFT(S31,4)),VALUE(MID(S31,6,2)),VALUE(RIGHT(S31,2))),"Invalid Date"),IF(AND(LEN(S31)=10,MID(S31,3,1)="/"),IFERROR(DATE(VALUE(RIGHT(S31,4)),VALUE(MID(S31,4,2)),VALUE(LEFT(S31,2))),"Invalid Date"),IF(AND(LEN(S31)=10,MID(S31,5,1)="/"),"Invalid Date",IFERROR(DATE(VALUE(RIGHT(S31,4)),MATCH(LEFT(S31,3),{"Jan","Feb","Mar","Apr","May","Jun","Jul","Aug","Sep","Oct","Nov","Dec"},0),VALUE(MID(S31,5,FIND(",",S31)-5))),"Invalid Date"))))))</f>
        <v>46069</v>
      </c>
      <c r="U31" t="s">
        <v>30</v>
      </c>
      <c r="V31" t="str">
        <f t="shared" si="3"/>
        <v>Vaccination</v>
      </c>
      <c r="W31" t="s">
        <v>49</v>
      </c>
      <c r="X31" t="str">
        <f t="shared" si="4"/>
        <v>None</v>
      </c>
      <c r="Y31" t="s">
        <v>179</v>
      </c>
      <c r="Z31" t="str">
        <f t="shared" si="5"/>
        <v/>
      </c>
      <c r="AA31" t="str">
        <f t="shared" si="6"/>
        <v>Missing</v>
      </c>
      <c r="AB31" t="s">
        <v>291</v>
      </c>
      <c r="AC31" s="6">
        <f t="shared" si="7"/>
        <v>35.722222222222221</v>
      </c>
      <c r="AD31" s="6" t="str">
        <f t="shared" si="8"/>
        <v>Fahrenheit Converted</v>
      </c>
      <c r="AE31" t="s">
        <v>238</v>
      </c>
      <c r="AF31" t="str">
        <f t="shared" si="9"/>
        <v/>
      </c>
      <c r="AG31" t="str">
        <f t="shared" si="10"/>
        <v>Missing</v>
      </c>
      <c r="AH31" t="s">
        <v>49</v>
      </c>
      <c r="AI31" t="str">
        <f t="shared" si="11"/>
        <v>None</v>
      </c>
      <c r="AJ31" s="5" t="s">
        <v>292</v>
      </c>
      <c r="AK31">
        <f>IF(TRIM(AJ31)="","",IF(LOWER(TRIM(AJ31))="one hundred",100,IFERROR(IF(VALUE(SUBSTITUTE(UPPER(TRIM(AJ31)),"GHS",""))&lt;0,"",VALUE(SUBSTITUTE(UPPER(TRIM(AJ31)),"GHS",""))),"")))</f>
        <v>121.54</v>
      </c>
      <c r="AM31" t="str">
        <f t="shared" si="12"/>
        <v/>
      </c>
      <c r="AN31" t="s">
        <v>38</v>
      </c>
      <c r="AO31" t="str">
        <f t="shared" si="13"/>
        <v>Partially Paid</v>
      </c>
      <c r="AP31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31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31" t="s">
        <v>83</v>
      </c>
      <c r="AS31" t="str">
        <f t="shared" si="14"/>
        <v>Dr. Patel</v>
      </c>
      <c r="AT31" t="s">
        <v>171</v>
      </c>
      <c r="AU31" t="str">
        <f t="shared" si="15"/>
        <v>Allergy: Penicillin</v>
      </c>
    </row>
    <row r="32" spans="1:47" ht="18" customHeight="1">
      <c r="A32" t="s">
        <v>293</v>
      </c>
      <c r="B32" t="str">
        <f t="shared" si="0"/>
        <v>P-0031</v>
      </c>
      <c r="C32" t="s">
        <v>22</v>
      </c>
      <c r="D32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Abena</v>
      </c>
      <c r="E32" t="s">
        <v>219</v>
      </c>
      <c r="F32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Yakubu</v>
      </c>
      <c r="G32" s="9">
        <v>-3</v>
      </c>
      <c r="H32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32" t="s">
        <v>163</v>
      </c>
      <c r="J32" t="str">
        <f t="shared" si="1"/>
        <v>Male</v>
      </c>
      <c r="L32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N32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32" t="s">
        <v>294</v>
      </c>
      <c r="P32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abena_yakubu@clinicmail.org</v>
      </c>
      <c r="Q32" t="s">
        <v>222</v>
      </c>
      <c r="R32" t="str">
        <f t="shared" si="2"/>
        <v>Abuja</v>
      </c>
      <c r="S32" t="s">
        <v>295</v>
      </c>
      <c r="T32" s="8">
        <f>IF(S32="","",IF(ISNUMBER(S32),S32,IF(AND(LEN(S32)=10,MID(S32,5,1)="-"),IFERROR(DATE(VALUE(LEFT(S32,4)),VALUE(MID(S32,6,2)),VALUE(RIGHT(S32,2))),"Invalid Date"),IF(AND(LEN(S32)=10,MID(S32,3,1)="/"),IFERROR(DATE(VALUE(RIGHT(S32,4)),VALUE(MID(S32,4,2)),VALUE(LEFT(S32,2))),"Invalid Date"),IF(AND(LEN(S32)=10,MID(S32,5,1)="/"),"Invalid Date",IFERROR(DATE(VALUE(RIGHT(S32,4)),MATCH(LEFT(S32,3),{"Jan","Feb","Mar","Apr","May","Jun","Jul","Aug","Sep","Oct","Nov","Dec"},0),VALUE(MID(S32,5,FIND(",",S32)-5))),"Invalid Date"))))))</f>
        <v>46098</v>
      </c>
      <c r="U32" t="s">
        <v>296</v>
      </c>
      <c r="V32" t="str">
        <f t="shared" si="3"/>
        <v>Lab Test</v>
      </c>
      <c r="W32" t="s">
        <v>297</v>
      </c>
      <c r="X32" t="str">
        <f t="shared" si="4"/>
        <v>COVID-19</v>
      </c>
      <c r="Y32" t="s">
        <v>298</v>
      </c>
      <c r="Z32" t="str">
        <f t="shared" si="5"/>
        <v>130/60</v>
      </c>
      <c r="AA32" t="str">
        <f t="shared" si="6"/>
        <v>Valid</v>
      </c>
      <c r="AB32" t="s">
        <v>33</v>
      </c>
      <c r="AC32" s="6" t="str">
        <f t="shared" si="7"/>
        <v/>
      </c>
      <c r="AD32" s="6" t="str">
        <f t="shared" si="8"/>
        <v>Missing</v>
      </c>
      <c r="AF32" t="str">
        <f t="shared" si="9"/>
        <v/>
      </c>
      <c r="AG32" t="str">
        <f t="shared" si="10"/>
        <v>Missing</v>
      </c>
      <c r="AH32" t="s">
        <v>114</v>
      </c>
      <c r="AI32" t="str">
        <f t="shared" si="11"/>
        <v>NHIS</v>
      </c>
      <c r="AJ32" s="5" t="s">
        <v>299</v>
      </c>
      <c r="AK32">
        <f>IF(TRIM(AJ32)="","",IF(LOWER(TRIM(AJ32))="one hundred",100,IFERROR(IF(VALUE(SUBSTITUTE(UPPER(TRIM(AJ32)),"GHS",""))&lt;0,"",VALUE(SUBSTITUTE(UPPER(TRIM(AJ32)),"GHS",""))),"")))</f>
        <v>32.72</v>
      </c>
      <c r="AM32" t="str">
        <f t="shared" si="12"/>
        <v/>
      </c>
      <c r="AO32" t="str">
        <f t="shared" si="13"/>
        <v/>
      </c>
      <c r="AP32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32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/>
      </c>
      <c r="AR32" t="s">
        <v>96</v>
      </c>
      <c r="AS32" t="str">
        <f t="shared" si="14"/>
        <v>Nurse Amina</v>
      </c>
      <c r="AT32" t="s">
        <v>97</v>
      </c>
      <c r="AU32" t="str">
        <f t="shared" si="15"/>
        <v>Patient Came Late</v>
      </c>
    </row>
    <row r="33" spans="1:47" ht="18" customHeight="1">
      <c r="A33" t="s">
        <v>300</v>
      </c>
      <c r="B33" t="str">
        <f t="shared" si="0"/>
        <v>P-0032</v>
      </c>
      <c r="C33" t="s">
        <v>22</v>
      </c>
      <c r="D33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Abena</v>
      </c>
      <c r="E33" t="s">
        <v>23</v>
      </c>
      <c r="F33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Adebayo</v>
      </c>
      <c r="G33" s="9">
        <v>81</v>
      </c>
      <c r="H33" t="str">
        <f>IF(OR(MessyClinicPatients[[#This Row],[Age]]="",MessyClinicPatients[[#This Row],[Age]]="unknown"),"Missing",IF(OR(MessyClinicPatients[[#This Row],[Age]]&lt;0,MessyClinicPatients[[#This Row],[Age]]&gt;120),"Invalid Age","Valid"))</f>
        <v>Valid</v>
      </c>
      <c r="I33" t="s">
        <v>151</v>
      </c>
      <c r="J33" t="str">
        <f t="shared" si="1"/>
        <v>Male</v>
      </c>
      <c r="K33" t="s">
        <v>302</v>
      </c>
      <c r="L33" s="8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16090</v>
      </c>
      <c r="M33" t="s">
        <v>303</v>
      </c>
      <c r="N33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0246481437</v>
      </c>
      <c r="O33" t="s">
        <v>304</v>
      </c>
      <c r="P33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abena_adebayo@clinicmail.org</v>
      </c>
      <c r="R33" t="str">
        <f t="shared" si="2"/>
        <v/>
      </c>
      <c r="S33" t="s">
        <v>92</v>
      </c>
      <c r="T33" s="8" t="str">
        <f>IF(S33="","",IF(ISNUMBER(S33),S33,IF(AND(LEN(S33)=10,MID(S33,5,1)="-"),IFERROR(DATE(VALUE(LEFT(S33,4)),VALUE(MID(S33,6,2)),VALUE(RIGHT(S33,2))),"Invalid Date"),IF(AND(LEN(S33)=10,MID(S33,3,1)="/"),IFERROR(DATE(VALUE(RIGHT(S33,4)),VALUE(MID(S33,4,2)),VALUE(LEFT(S33,2))),"Invalid Date"),IF(AND(LEN(S33)=10,MID(S33,5,1)="/"),"Invalid Date",IFERROR(DATE(VALUE(RIGHT(S33,4)),MATCH(LEFT(S33,3),{"Jan","Feb","Mar","Apr","May","Jun","Jul","Aug","Sep","Oct","Nov","Dec"},0),VALUE(MID(S33,5,FIND(",",S33)-5))),"Invalid Date"))))))</f>
        <v>Invalid Date</v>
      </c>
      <c r="U33" t="s">
        <v>111</v>
      </c>
      <c r="V33" t="str">
        <f t="shared" si="3"/>
        <v>Follow-up</v>
      </c>
      <c r="X33" t="str">
        <f t="shared" si="4"/>
        <v/>
      </c>
      <c r="Z33" t="str">
        <f t="shared" si="5"/>
        <v/>
      </c>
      <c r="AA33" t="str">
        <f t="shared" si="6"/>
        <v>Missing</v>
      </c>
      <c r="AB33" t="s">
        <v>305</v>
      </c>
      <c r="AC33" s="6">
        <f t="shared" si="7"/>
        <v>39.200000000000003</v>
      </c>
      <c r="AD33" s="6" t="str">
        <f t="shared" si="8"/>
        <v>Valid</v>
      </c>
      <c r="AE33" t="s">
        <v>306</v>
      </c>
      <c r="AF33">
        <f t="shared" si="9"/>
        <v>57.8</v>
      </c>
      <c r="AG33" t="str">
        <f t="shared" si="10"/>
        <v>Valid</v>
      </c>
      <c r="AH33" t="s">
        <v>51</v>
      </c>
      <c r="AI33" t="str">
        <f t="shared" si="11"/>
        <v>Private</v>
      </c>
      <c r="AJ33" s="5" t="s">
        <v>307</v>
      </c>
      <c r="AK33">
        <f>IF(TRIM(AJ33)="","",IF(LOWER(TRIM(AJ33))="one hundred",100,IFERROR(IF(VALUE(SUBSTITUTE(UPPER(TRIM(AJ33)),"GHS",""))&lt;0,"",VALUE(SUBSTITUTE(UPPER(TRIM(AJ33)),"GHS",""))),"")))</f>
        <v>311.04000000000002</v>
      </c>
      <c r="AL33" t="s">
        <v>308</v>
      </c>
      <c r="AM33">
        <f t="shared" si="12"/>
        <v>84.77</v>
      </c>
      <c r="AN33" t="s">
        <v>68</v>
      </c>
      <c r="AO33" t="str">
        <f t="shared" si="13"/>
        <v>Paid</v>
      </c>
      <c r="AP33">
        <f>IF(OR(MessyClinicPatients[[#This Row],[Clean Total Bill]]="",MessyClinicPatients[[#This Row],[Clean Amount Paid]]=""),"",MessyClinicPatients[[#This Row],[Clean Total Bill]]-MessyClinicPatients[[#This Row],[Clean Amount Paid]])</f>
        <v>226.27000000000004</v>
      </c>
      <c r="AQ33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33" t="s">
        <v>148</v>
      </c>
      <c r="AS33" t="str">
        <f t="shared" si="14"/>
        <v>Dr. Mensah</v>
      </c>
      <c r="AT33" t="s">
        <v>40</v>
      </c>
      <c r="AU33" t="str">
        <f t="shared" si="15"/>
        <v>Needs Follow-Up</v>
      </c>
    </row>
    <row r="34" spans="1:47" ht="18" customHeight="1">
      <c r="A34" t="s">
        <v>309</v>
      </c>
      <c r="B34" t="str">
        <f t="shared" ref="B34:B65" si="16">IF(TRIM(A34)="","",IFERROR("P-"&amp;TEXT(VALUE(SUBSTITUTE(SUBSTITUTE(SUBSTITUTE(UPPER(TRIM(A34)),"PAT",""),"P-",""),"P","")),"0000"),""))</f>
        <v>P-0033</v>
      </c>
      <c r="C34" t="s">
        <v>241</v>
      </c>
      <c r="D34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Aisha</v>
      </c>
      <c r="E34" t="s">
        <v>120</v>
      </c>
      <c r="F34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Taylor</v>
      </c>
      <c r="G34" s="9">
        <v>-3</v>
      </c>
      <c r="H34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34" t="s">
        <v>74</v>
      </c>
      <c r="J34" t="str">
        <f t="shared" ref="J34:J65" si="17">IF(OR(LOWER(TRIM(I34))="f",LOWER(TRIM(I34))="femal",LOWER(TRIM(I34))="female"),"Female",IF(OR(LOWER(TRIM(I34))="m",LOWER(TRIM(I34))="mal",LOWER(TRIM(I34))="male"),"Male",IF(LOWER(TRIM(I34))="other","Other","")))</f>
        <v>Female</v>
      </c>
      <c r="L34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34" t="s">
        <v>61</v>
      </c>
      <c r="N34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Invalid Phone</v>
      </c>
      <c r="O34" t="s">
        <v>27</v>
      </c>
      <c r="P34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34" t="s">
        <v>289</v>
      </c>
      <c r="R34" t="str">
        <f t="shared" ref="R34:R65" si="18">IF(TRIM(Q34)="","",TRIM(Q34))</f>
        <v>Enugu</v>
      </c>
      <c r="S34" t="s">
        <v>92</v>
      </c>
      <c r="T34" s="8" t="str">
        <f>IF(S34="","",IF(ISNUMBER(S34),S34,IF(AND(LEN(S34)=10,MID(S34,5,1)="-"),IFERROR(DATE(VALUE(LEFT(S34,4)),VALUE(MID(S34,6,2)),VALUE(RIGHT(S34,2))),"Invalid Date"),IF(AND(LEN(S34)=10,MID(S34,3,1)="/"),IFERROR(DATE(VALUE(RIGHT(S34,4)),VALUE(MID(S34,4,2)),VALUE(LEFT(S34,2))),"Invalid Date"),IF(AND(LEN(S34)=10,MID(S34,5,1)="/"),"Invalid Date",IFERROR(DATE(VALUE(RIGHT(S34,4)),MATCH(LEFT(S34,3),{"Jan","Feb","Mar","Apr","May","Jun","Jul","Aug","Sep","Oct","Nov","Dec"},0),VALUE(MID(S34,5,FIND(",",S34)-5))),"Invalid Date"))))))</f>
        <v>Invalid Date</v>
      </c>
      <c r="U34" t="s">
        <v>134</v>
      </c>
      <c r="V34" t="str">
        <f t="shared" ref="V34:V65" si="19">IF(TRIM(U34)="","",IF(OR(LOWER(TRIM(U34))="consult",LOWER(TRIM(U34))="consultation"),"Consultation",IF(OR(LOWER(TRIM(U34))="follow up",LOWER(TRIM(U34))="follow-up"),"Follow-up",PROPER(TRIM(U34)))))</f>
        <v>Follow-up</v>
      </c>
      <c r="W34" t="s">
        <v>103</v>
      </c>
      <c r="X34" t="str">
        <f t="shared" ref="X34:X65" si="20">IF(TRIM(W34)="","",IF(UPPER(TRIM(W34))="COVID-19","COVID-19",PROPER(TRIM(W34))))</f>
        <v>Diabetes</v>
      </c>
      <c r="Y34" t="s">
        <v>179</v>
      </c>
      <c r="Z34" t="str">
        <f t="shared" ref="Z34:Z65" si="21">IF(TRIM(Y34)="","",IF(LOWER(TRIM(Y34))="high","",IF(ISNUMBER(SEARCH("/",TRIM(Y34))),TRIM(Y34),IF(ISNUMBER(SEARCH("-",TRIM(Y34))),SUBSTITUTE(TRIM(Y34),"-","/"),""))))</f>
        <v/>
      </c>
      <c r="AA34" t="str">
        <f t="shared" ref="AA34:AA65" si="22">IF(Z34="","Missing",IFERROR(IF(AND(VALUE(LEFT(Z34,FIND("/",Z34)-1))&gt;=70,VALUE(LEFT(Z34,FIND("/",Z34)-1))&lt;=250,VALUE(MID(Z34,FIND("/",Z34)+1,99))&gt;=40,VALUE(MID(Z34,FIND("/",Z34)+1,99))&lt;=150),"Valid","Invalid Blood Pressure"),"Invalid Blood Pressure"))</f>
        <v>Missing</v>
      </c>
      <c r="AB34" t="s">
        <v>34</v>
      </c>
      <c r="AC34" s="6">
        <f t="shared" si="7"/>
        <v>36.5</v>
      </c>
      <c r="AD34" s="6" t="str">
        <f t="shared" ref="AD34:AD65" si="23">IF(AB34="","Missing",IF(LOWER(TRIM(AB34&amp;""))="normal","Missing",IFERROR(IF(VALUE(AB34)&gt;=90,"Fahrenheit Converted","Valid"),"Invalid Temperature")))</f>
        <v>Fahrenheit Converted</v>
      </c>
      <c r="AE34" t="s">
        <v>310</v>
      </c>
      <c r="AF34" t="str">
        <f t="shared" ref="AF34:AF65" si="24">IF(TRIM(AE34)="","",IF(LOWER(TRIM(AE34))="eighty",80,IFERROR(IF(AND(VALUE(AE34)&gt;=30,VALUE(AE34)&lt;=250),VALUE(AE34),""),"")))</f>
        <v/>
      </c>
      <c r="AG34" t="str">
        <f t="shared" ref="AG34:AG65" si="25">IF(AF34="","Missing",IF(AF34&lt;=0,"Invalid Weight",IF(AF34&gt;250,"Implausible Weight","Valid")))</f>
        <v>Missing</v>
      </c>
      <c r="AH34" t="s">
        <v>35</v>
      </c>
      <c r="AI34" t="str">
        <f t="shared" ref="AI34:AI65" si="26">IF(OR(TRIM(AH34)="",UPPER(TRIM(AH34))="N/A"),"",IF(UPPER(TRIM(AH34))="NHIS","NHIS",IF(UPPER(TRIM(AH34))="PRIVATE","Private",IF(UPPER(TRIM(AH34))="CORPORATE","Corporate",IF(LOWER(TRIM(AH34))="nhis","NHIS",IF(UPPER(TRIM(AH34))="NONE","None",""))))))</f>
        <v>Corporate</v>
      </c>
      <c r="AJ34" s="5" t="s">
        <v>311</v>
      </c>
      <c r="AK34">
        <f>IF(TRIM(AJ34)="","",IF(LOWER(TRIM(AJ34))="one hundred",100,IFERROR(IF(VALUE(SUBSTITUTE(UPPER(TRIM(AJ34)),"GHS",""))&lt;0,"",VALUE(SUBSTITUTE(UPPER(TRIM(AJ34)),"GHS",""))),"")))</f>
        <v>532.86</v>
      </c>
      <c r="AL34" t="s">
        <v>37</v>
      </c>
      <c r="AM34">
        <f t="shared" ref="AM34:AM65" si="27">IF(TRIM(AL34)="","",IF(LOWER(TRIM(AL34))="one hundred",100,IFERROR(IF(VALUE(AL34)&lt;0,"",VALUE(AL34)),"")))</f>
        <v>100</v>
      </c>
      <c r="AN34" t="s">
        <v>137</v>
      </c>
      <c r="AO34" t="str">
        <f t="shared" ref="AO34:AO65" si="28">IF(TRIM(AN34)="","",PROPER(TRIM(AN34)))</f>
        <v>Unpaid</v>
      </c>
      <c r="AP34">
        <f>IF(OR(MessyClinicPatients[[#This Row],[Clean Total Bill]]="",MessyClinicPatients[[#This Row],[Clean Amount Paid]]=""),"",MessyClinicPatients[[#This Row],[Clean Total Bill]]-MessyClinicPatients[[#This Row],[Clean Amount Paid]])</f>
        <v>432.86</v>
      </c>
      <c r="AQ34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S34" t="str">
        <f t="shared" ref="AS34:AS65" si="29">IF(TRIM(AR34)="","",IF(ISNUMBER(SEARCH("NURSE",UPPER(TRIM(AR34)))),"Nurse "&amp;PROPER(TRIM(SUBSTITUTE(UPPER(TRIM(AR34)),"NURSE",""))),"Dr. "&amp;PROPER(TRIM(SUBSTITUTE(SUBSTITUTE(UPPER(TRIM(AR34)),"DR.",""),"DR","")))))</f>
        <v/>
      </c>
      <c r="AU34" t="str">
        <f t="shared" ref="AU34:AU65" si="30">IF(TRIM(AT34)="","",PROPER(TRIM(AT34)))</f>
        <v/>
      </c>
    </row>
    <row r="35" spans="1:47" ht="18" customHeight="1">
      <c r="A35" t="s">
        <v>312</v>
      </c>
      <c r="B35" t="str">
        <f t="shared" si="16"/>
        <v>P-1034</v>
      </c>
      <c r="C35" t="s">
        <v>119</v>
      </c>
      <c r="D35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Peter</v>
      </c>
      <c r="E35" t="s">
        <v>313</v>
      </c>
      <c r="F35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Abiola</v>
      </c>
      <c r="G35" s="9">
        <v>130</v>
      </c>
      <c r="H35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35" t="s">
        <v>88</v>
      </c>
      <c r="J35" t="str">
        <f t="shared" si="17"/>
        <v>Female</v>
      </c>
      <c r="L35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N35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P35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35" t="s">
        <v>289</v>
      </c>
      <c r="R35" t="str">
        <f t="shared" si="18"/>
        <v>Enugu</v>
      </c>
      <c r="S35" t="s">
        <v>314</v>
      </c>
      <c r="T35" s="8">
        <f>IF(S35="","",IF(ISNUMBER(S35),S35,IF(AND(LEN(S35)=10,MID(S35,5,1)="-"),IFERROR(DATE(VALUE(LEFT(S35,4)),VALUE(MID(S35,6,2)),VALUE(RIGHT(S35,2))),"Invalid Date"),IF(AND(LEN(S35)=10,MID(S35,3,1)="/"),IFERROR(DATE(VALUE(RIGHT(S35,4)),VALUE(MID(S35,4,2)),VALUE(LEFT(S35,2))),"Invalid Date"),IF(AND(LEN(S35)=10,MID(S35,5,1)="/"),"Invalid Date",IFERROR(DATE(VALUE(RIGHT(S35,4)),MATCH(LEFT(S35,3),{"Jan","Feb","Mar","Apr","May","Jun","Jul","Aug","Sep","Oct","Nov","Dec"},0),VALUE(MID(S35,5,FIND(",",S35)-5))),"Invalid Date"))))))</f>
        <v>46031</v>
      </c>
      <c r="U35" t="s">
        <v>134</v>
      </c>
      <c r="V35" t="str">
        <f t="shared" si="19"/>
        <v>Follow-up</v>
      </c>
      <c r="W35" t="s">
        <v>49</v>
      </c>
      <c r="X35" t="str">
        <f t="shared" si="20"/>
        <v>None</v>
      </c>
      <c r="Z35" t="str">
        <f t="shared" si="21"/>
        <v/>
      </c>
      <c r="AA35" t="str">
        <f t="shared" si="22"/>
        <v>Missing</v>
      </c>
      <c r="AB35" t="s">
        <v>33</v>
      </c>
      <c r="AC35" s="6" t="str">
        <f t="shared" si="7"/>
        <v/>
      </c>
      <c r="AD35" s="6" t="str">
        <f t="shared" si="23"/>
        <v>Missing</v>
      </c>
      <c r="AE35" t="s">
        <v>80</v>
      </c>
      <c r="AF35">
        <f t="shared" si="24"/>
        <v>80</v>
      </c>
      <c r="AG35" t="str">
        <f t="shared" si="25"/>
        <v>Valid</v>
      </c>
      <c r="AH35" t="s">
        <v>35</v>
      </c>
      <c r="AI35" t="str">
        <f t="shared" si="26"/>
        <v>Corporate</v>
      </c>
      <c r="AJ35" s="5" t="s">
        <v>315</v>
      </c>
      <c r="AK35">
        <f>IF(TRIM(AJ35)="","",IF(LOWER(TRIM(AJ35))="one hundred",100,IFERROR(IF(VALUE(SUBSTITUTE(UPPER(TRIM(AJ35)),"GHS",""))&lt;0,"",VALUE(SUBSTITUTE(UPPER(TRIM(AJ35)),"GHS",""))),"")))</f>
        <v>146.02000000000001</v>
      </c>
      <c r="AL35" t="s">
        <v>316</v>
      </c>
      <c r="AM35">
        <f t="shared" si="27"/>
        <v>64.930000000000007</v>
      </c>
      <c r="AN35" t="s">
        <v>95</v>
      </c>
      <c r="AO35" t="str">
        <f t="shared" si="28"/>
        <v>Pending</v>
      </c>
      <c r="AP35">
        <f>IF(OR(MessyClinicPatients[[#This Row],[Clean Total Bill]]="",MessyClinicPatients[[#This Row],[Clean Amount Paid]]=""),"",MessyClinicPatients[[#This Row],[Clean Total Bill]]-MessyClinicPatients[[#This Row],[Clean Amount Paid]])</f>
        <v>81.09</v>
      </c>
      <c r="AQ35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35" t="s">
        <v>148</v>
      </c>
      <c r="AS35" t="str">
        <f t="shared" si="29"/>
        <v>Dr. Mensah</v>
      </c>
      <c r="AT35" t="s">
        <v>40</v>
      </c>
      <c r="AU35" t="str">
        <f t="shared" si="30"/>
        <v>Needs Follow-Up</v>
      </c>
    </row>
    <row r="36" spans="1:47" ht="18" customHeight="1">
      <c r="B36" t="str">
        <f t="shared" si="16"/>
        <v/>
      </c>
      <c r="C36" t="s">
        <v>129</v>
      </c>
      <c r="D36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Kwame</v>
      </c>
      <c r="E36" t="s">
        <v>260</v>
      </c>
      <c r="F36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Acheampong</v>
      </c>
      <c r="H36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36" t="s">
        <v>163</v>
      </c>
      <c r="J36" t="str">
        <f t="shared" si="17"/>
        <v>Male</v>
      </c>
      <c r="L36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36" t="s">
        <v>317</v>
      </c>
      <c r="N36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8003214817</v>
      </c>
      <c r="O36" t="s">
        <v>318</v>
      </c>
      <c r="P36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kwame_acheampong@clinicmail.org</v>
      </c>
      <c r="Q36" t="s">
        <v>101</v>
      </c>
      <c r="R36" t="str">
        <f t="shared" si="18"/>
        <v>Accra</v>
      </c>
      <c r="S36" t="s">
        <v>319</v>
      </c>
      <c r="T36" s="8">
        <f>IF(S36="","",IF(ISNUMBER(S36),S36,IF(AND(LEN(S36)=10,MID(S36,5,1)="-"),IFERROR(DATE(VALUE(LEFT(S36,4)),VALUE(MID(S36,6,2)),VALUE(RIGHT(S36,2))),"Invalid Date"),IF(AND(LEN(S36)=10,MID(S36,3,1)="/"),IFERROR(DATE(VALUE(RIGHT(S36,4)),VALUE(MID(S36,4,2)),VALUE(LEFT(S36,2))),"Invalid Date"),IF(AND(LEN(S36)=10,MID(S36,5,1)="/"),"Invalid Date",IFERROR(DATE(VALUE(RIGHT(S36,4)),MATCH(LEFT(S36,3),{"Jan","Feb","Mar","Apr","May","Jun","Jul","Aug","Sep","Oct","Nov","Dec"},0),VALUE(MID(S36,5,FIND(",",S36)-5))),"Invalid Date"))))))</f>
        <v>46023</v>
      </c>
      <c r="U36" t="s">
        <v>77</v>
      </c>
      <c r="V36" t="str">
        <f t="shared" si="19"/>
        <v>Emergency</v>
      </c>
      <c r="W36" t="s">
        <v>229</v>
      </c>
      <c r="X36" t="str">
        <f t="shared" si="20"/>
        <v>Flu</v>
      </c>
      <c r="Y36" t="s">
        <v>145</v>
      </c>
      <c r="Z36" t="str">
        <f t="shared" si="21"/>
        <v>120/80</v>
      </c>
      <c r="AA36" t="str">
        <f t="shared" si="22"/>
        <v>Valid</v>
      </c>
      <c r="AC36" s="6" t="str">
        <f t="shared" si="7"/>
        <v/>
      </c>
      <c r="AD36" s="6" t="str">
        <f t="shared" si="23"/>
        <v>Missing</v>
      </c>
      <c r="AF36" t="str">
        <f t="shared" si="24"/>
        <v/>
      </c>
      <c r="AG36" t="str">
        <f t="shared" si="25"/>
        <v>Missing</v>
      </c>
      <c r="AH36" t="s">
        <v>81</v>
      </c>
      <c r="AI36" t="str">
        <f t="shared" si="26"/>
        <v>NHIS</v>
      </c>
      <c r="AJ36" s="5" t="s">
        <v>320</v>
      </c>
      <c r="AK36">
        <f>IF(TRIM(AJ36)="","",IF(LOWER(TRIM(AJ36))="one hundred",100,IFERROR(IF(VALUE(SUBSTITUTE(UPPER(TRIM(AJ36)),"GHS",""))&lt;0,"",VALUE(SUBSTITUTE(UPPER(TRIM(AJ36)),"GHS",""))),"")))</f>
        <v>517.88</v>
      </c>
      <c r="AL36" t="s">
        <v>321</v>
      </c>
      <c r="AM36">
        <f t="shared" si="27"/>
        <v>74.930000000000007</v>
      </c>
      <c r="AN36" t="s">
        <v>68</v>
      </c>
      <c r="AO36" t="str">
        <f t="shared" si="28"/>
        <v>Paid</v>
      </c>
      <c r="AP36">
        <f>IF(OR(MessyClinicPatients[[#This Row],[Clean Total Bill]]="",MessyClinicPatients[[#This Row],[Clean Amount Paid]]=""),"",MessyClinicPatients[[#This Row],[Clean Total Bill]]-MessyClinicPatients[[#This Row],[Clean Amount Paid]])</f>
        <v>442.95</v>
      </c>
      <c r="AQ36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36" t="s">
        <v>39</v>
      </c>
      <c r="AS36" t="str">
        <f t="shared" si="29"/>
        <v>Dr. Okoro</v>
      </c>
      <c r="AT36" t="s">
        <v>97</v>
      </c>
      <c r="AU36" t="str">
        <f t="shared" si="30"/>
        <v>Patient Came Late</v>
      </c>
    </row>
    <row r="37" spans="1:47" ht="18" customHeight="1">
      <c r="A37" t="s">
        <v>322</v>
      </c>
      <c r="B37" t="str">
        <f t="shared" si="16"/>
        <v>P-0036</v>
      </c>
      <c r="C37" t="s">
        <v>323</v>
      </c>
      <c r="D37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Michael</v>
      </c>
      <c r="E37" t="s">
        <v>140</v>
      </c>
      <c r="F37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Smith</v>
      </c>
      <c r="G37" s="9">
        <v>-3</v>
      </c>
      <c r="H37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37" t="s">
        <v>88</v>
      </c>
      <c r="J37" t="str">
        <f t="shared" si="17"/>
        <v>Female</v>
      </c>
      <c r="L37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37" t="s">
        <v>61</v>
      </c>
      <c r="N37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Invalid Phone</v>
      </c>
      <c r="O37" t="s">
        <v>324</v>
      </c>
      <c r="P37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michael_smith@clinicmail.org</v>
      </c>
      <c r="Q37" t="s">
        <v>91</v>
      </c>
      <c r="R37" t="str">
        <f t="shared" si="18"/>
        <v>Lagos</v>
      </c>
      <c r="T37" s="8" t="str">
        <f>IF(S37="","",IF(ISNUMBER(S37),S37,IF(AND(LEN(S37)=10,MID(S37,5,1)="-"),IFERROR(DATE(VALUE(LEFT(S37,4)),VALUE(MID(S37,6,2)),VALUE(RIGHT(S37,2))),"Invalid Date"),IF(AND(LEN(S37)=10,MID(S37,3,1)="/"),IFERROR(DATE(VALUE(RIGHT(S37,4)),VALUE(MID(S37,4,2)),VALUE(LEFT(S37,2))),"Invalid Date"),IF(AND(LEN(S37)=10,MID(S37,5,1)="/"),"Invalid Date",IFERROR(DATE(VALUE(RIGHT(S37,4)),MATCH(LEFT(S37,3),{"Jan","Feb","Mar","Apr","May","Jun","Jul","Aug","Sep","Oct","Nov","Dec"},0),VALUE(MID(S37,5,FIND(",",S37)-5))),"Invalid Date"))))))</f>
        <v/>
      </c>
      <c r="U37" t="s">
        <v>77</v>
      </c>
      <c r="V37" t="str">
        <f t="shared" si="19"/>
        <v>Emergency</v>
      </c>
      <c r="W37" t="s">
        <v>229</v>
      </c>
      <c r="X37" t="str">
        <f t="shared" si="20"/>
        <v>Flu</v>
      </c>
      <c r="Y37" t="s">
        <v>325</v>
      </c>
      <c r="Z37" t="str">
        <f t="shared" si="21"/>
        <v>146/87</v>
      </c>
      <c r="AA37" t="str">
        <f t="shared" si="22"/>
        <v>Valid</v>
      </c>
      <c r="AB37" t="s">
        <v>326</v>
      </c>
      <c r="AC37" s="6">
        <f t="shared" si="7"/>
        <v>37.799999999999997</v>
      </c>
      <c r="AD37" s="6" t="str">
        <f t="shared" si="23"/>
        <v>Valid</v>
      </c>
      <c r="AE37" t="s">
        <v>80</v>
      </c>
      <c r="AF37">
        <f t="shared" si="24"/>
        <v>80</v>
      </c>
      <c r="AG37" t="str">
        <f t="shared" si="25"/>
        <v>Valid</v>
      </c>
      <c r="AH37" t="s">
        <v>51</v>
      </c>
      <c r="AI37" t="str">
        <f t="shared" si="26"/>
        <v>Private</v>
      </c>
      <c r="AJ37" s="5" t="s">
        <v>327</v>
      </c>
      <c r="AK37">
        <f>IF(TRIM(AJ37)="","",IF(LOWER(TRIM(AJ37))="one hundred",100,IFERROR(IF(VALUE(SUBSTITUTE(UPPER(TRIM(AJ37)),"GHS",""))&lt;0,"",VALUE(SUBSTITUTE(UPPER(TRIM(AJ37)),"GHS",""))),"")))</f>
        <v>393.14</v>
      </c>
      <c r="AM37" t="str">
        <f t="shared" si="27"/>
        <v/>
      </c>
      <c r="AN37" t="s">
        <v>95</v>
      </c>
      <c r="AO37" t="str">
        <f t="shared" si="28"/>
        <v>Pending</v>
      </c>
      <c r="AP37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37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Pending</v>
      </c>
      <c r="AR37" t="s">
        <v>83</v>
      </c>
      <c r="AS37" t="str">
        <f t="shared" si="29"/>
        <v>Dr. Patel</v>
      </c>
      <c r="AT37" t="s">
        <v>97</v>
      </c>
      <c r="AU37" t="str">
        <f t="shared" si="30"/>
        <v>Patient Came Late</v>
      </c>
    </row>
    <row r="38" spans="1:47" ht="18" customHeight="1">
      <c r="A38" t="s">
        <v>328</v>
      </c>
      <c r="B38" t="str">
        <f t="shared" si="16"/>
        <v>P-0037</v>
      </c>
      <c r="C38" t="s">
        <v>119</v>
      </c>
      <c r="D38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Peter</v>
      </c>
      <c r="E38" t="s">
        <v>130</v>
      </c>
      <c r="F38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Mbeki</v>
      </c>
      <c r="G38" s="9">
        <v>-3</v>
      </c>
      <c r="H38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38" t="s">
        <v>88</v>
      </c>
      <c r="J38" t="str">
        <f t="shared" si="17"/>
        <v>Female</v>
      </c>
      <c r="L38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38" t="s">
        <v>176</v>
      </c>
      <c r="N38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38" t="s">
        <v>27</v>
      </c>
      <c r="P38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38" t="s">
        <v>227</v>
      </c>
      <c r="R38" t="str">
        <f t="shared" si="18"/>
        <v>accra</v>
      </c>
      <c r="T38" s="8" t="str">
        <f>IF(S38="","",IF(ISNUMBER(S38),S38,IF(AND(LEN(S38)=10,MID(S38,5,1)="-"),IFERROR(DATE(VALUE(LEFT(S38,4)),VALUE(MID(S38,6,2)),VALUE(RIGHT(S38,2))),"Invalid Date"),IF(AND(LEN(S38)=10,MID(S38,3,1)="/"),IFERROR(DATE(VALUE(RIGHT(S38,4)),VALUE(MID(S38,4,2)),VALUE(LEFT(S38,2))),"Invalid Date"),IF(AND(LEN(S38)=10,MID(S38,5,1)="/"),"Invalid Date",IFERROR(DATE(VALUE(RIGHT(S38,4)),MATCH(LEFT(S38,3),{"Jan","Feb","Mar","Apr","May","Jun","Jul","Aug","Sep","Oct","Nov","Dec"},0),VALUE(MID(S38,5,FIND(",",S38)-5))),"Invalid Date"))))))</f>
        <v/>
      </c>
      <c r="U38" t="s">
        <v>102</v>
      </c>
      <c r="V38" t="str">
        <f t="shared" si="19"/>
        <v>Consultation</v>
      </c>
      <c r="W38" t="s">
        <v>224</v>
      </c>
      <c r="X38" t="str">
        <f t="shared" si="20"/>
        <v>Diabetes</v>
      </c>
      <c r="Y38" t="s">
        <v>145</v>
      </c>
      <c r="Z38" t="str">
        <f t="shared" si="21"/>
        <v>120/80</v>
      </c>
      <c r="AA38" t="str">
        <f t="shared" si="22"/>
        <v>Valid</v>
      </c>
      <c r="AB38" t="s">
        <v>329</v>
      </c>
      <c r="AC38" s="6">
        <f t="shared" si="7"/>
        <v>38.799999999999997</v>
      </c>
      <c r="AD38" s="6" t="str">
        <f t="shared" si="23"/>
        <v>Valid</v>
      </c>
      <c r="AE38" t="s">
        <v>245</v>
      </c>
      <c r="AF38">
        <f t="shared" si="24"/>
        <v>100.3</v>
      </c>
      <c r="AG38" t="str">
        <f t="shared" si="25"/>
        <v>Valid</v>
      </c>
      <c r="AH38" t="s">
        <v>49</v>
      </c>
      <c r="AI38" t="str">
        <f t="shared" si="26"/>
        <v>None</v>
      </c>
      <c r="AJ38" s="5" t="s">
        <v>330</v>
      </c>
      <c r="AK38">
        <f>IF(TRIM(AJ38)="","",IF(LOWER(TRIM(AJ38))="one hundred",100,IFERROR(IF(VALUE(SUBSTITUTE(UPPER(TRIM(AJ38)),"GHS",""))&lt;0,"",VALUE(SUBSTITUTE(UPPER(TRIM(AJ38)),"GHS",""))),"")))</f>
        <v>443.18</v>
      </c>
      <c r="AL38" t="s">
        <v>53</v>
      </c>
      <c r="AM38">
        <f t="shared" si="27"/>
        <v>0</v>
      </c>
      <c r="AN38" t="s">
        <v>95</v>
      </c>
      <c r="AO38" t="str">
        <f t="shared" si="28"/>
        <v>Pending</v>
      </c>
      <c r="AP38">
        <f>IF(OR(MessyClinicPatients[[#This Row],[Clean Total Bill]]="",MessyClinicPatients[[#This Row],[Clean Amount Paid]]=""),"",MessyClinicPatients[[#This Row],[Clean Total Bill]]-MessyClinicPatients[[#This Row],[Clean Amount Paid]])</f>
        <v>443.18</v>
      </c>
      <c r="AQ38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R38" t="s">
        <v>69</v>
      </c>
      <c r="AS38" t="str">
        <f t="shared" si="29"/>
        <v>Dr. Mensah</v>
      </c>
      <c r="AT38" t="s">
        <v>274</v>
      </c>
      <c r="AU38" t="str">
        <f t="shared" si="30"/>
        <v>Repeated Record?</v>
      </c>
    </row>
    <row r="39" spans="1:47" ht="18" customHeight="1">
      <c r="A39" t="s">
        <v>331</v>
      </c>
      <c r="B39" t="str">
        <f t="shared" si="16"/>
        <v>P-1038</v>
      </c>
      <c r="C39" t="s">
        <v>56</v>
      </c>
      <c r="D39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Ibrahim</v>
      </c>
      <c r="E39" t="s">
        <v>23</v>
      </c>
      <c r="F39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Adebayo</v>
      </c>
      <c r="G39" t="s">
        <v>24</v>
      </c>
      <c r="H39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39" t="s">
        <v>59</v>
      </c>
      <c r="J39" t="str">
        <f t="shared" si="17"/>
        <v>Female</v>
      </c>
      <c r="L39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39" t="s">
        <v>332</v>
      </c>
      <c r="N39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+233249881842</v>
      </c>
      <c r="O39" t="s">
        <v>333</v>
      </c>
      <c r="P39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ibrahim_adebayo@clinicmail.org</v>
      </c>
      <c r="Q39" t="s">
        <v>101</v>
      </c>
      <c r="R39" t="str">
        <f t="shared" si="18"/>
        <v>Accra</v>
      </c>
      <c r="S39" t="s">
        <v>334</v>
      </c>
      <c r="T39" s="8">
        <f>IF(S39="","",IF(ISNUMBER(S39),S39,IF(AND(LEN(S39)=10,MID(S39,5,1)="-"),IFERROR(DATE(VALUE(LEFT(S39,4)),VALUE(MID(S39,6,2)),VALUE(RIGHT(S39,2))),"Invalid Date"),IF(AND(LEN(S39)=10,MID(S39,3,1)="/"),IFERROR(DATE(VALUE(RIGHT(S39,4)),VALUE(MID(S39,4,2)),VALUE(LEFT(S39,2))),"Invalid Date"),IF(AND(LEN(S39)=10,MID(S39,5,1)="/"),"Invalid Date",IFERROR(DATE(VALUE(RIGHT(S39,4)),MATCH(LEFT(S39,3),{"Jan","Feb","Mar","Apr","May","Jun","Jul","Aug","Sep","Oct","Nov","Dec"},0),VALUE(MID(S39,5,FIND(",",S39)-5))),"Invalid Date"))))))</f>
        <v>46077</v>
      </c>
      <c r="U39" t="s">
        <v>30</v>
      </c>
      <c r="V39" t="str">
        <f t="shared" si="19"/>
        <v>Vaccination</v>
      </c>
      <c r="W39" t="s">
        <v>124</v>
      </c>
      <c r="X39" t="str">
        <f t="shared" si="20"/>
        <v>Hypertension</v>
      </c>
      <c r="Y39" t="s">
        <v>335</v>
      </c>
      <c r="Z39" t="str">
        <f t="shared" si="21"/>
        <v>139/95</v>
      </c>
      <c r="AA39" t="str">
        <f t="shared" si="22"/>
        <v>Valid</v>
      </c>
      <c r="AB39" t="s">
        <v>336</v>
      </c>
      <c r="AC39" s="6">
        <f t="shared" si="7"/>
        <v>37.888888888888886</v>
      </c>
      <c r="AD39" s="6" t="str">
        <f t="shared" si="23"/>
        <v>Fahrenheit Converted</v>
      </c>
      <c r="AE39" t="s">
        <v>204</v>
      </c>
      <c r="AF39" t="str">
        <f t="shared" si="24"/>
        <v/>
      </c>
      <c r="AG39" t="str">
        <f t="shared" si="25"/>
        <v>Missing</v>
      </c>
      <c r="AH39" t="s">
        <v>49</v>
      </c>
      <c r="AI39" t="str">
        <f t="shared" si="26"/>
        <v>None</v>
      </c>
      <c r="AJ39" s="5" t="s">
        <v>337</v>
      </c>
      <c r="AK39">
        <f>IF(TRIM(AJ39)="","",IF(LOWER(TRIM(AJ39))="one hundred",100,IFERROR(IF(VALUE(SUBSTITUTE(UPPER(TRIM(AJ39)),"GHS",""))&lt;0,"",VALUE(SUBSTITUTE(UPPER(TRIM(AJ39)),"GHS",""))),"")))</f>
        <v>400.91</v>
      </c>
      <c r="AL39" t="s">
        <v>337</v>
      </c>
      <c r="AM39">
        <f t="shared" si="27"/>
        <v>400.91</v>
      </c>
      <c r="AN39" t="s">
        <v>117</v>
      </c>
      <c r="AO39" t="str">
        <f t="shared" si="28"/>
        <v>Refunded</v>
      </c>
      <c r="AP39">
        <f>IF(OR(MessyClinicPatients[[#This Row],[Clean Total Bill]]="",MessyClinicPatients[[#This Row],[Clean Amount Paid]]=""),"",MessyClinicPatients[[#This Row],[Clean Total Bill]]-MessyClinicPatients[[#This Row],[Clean Amount Paid]])</f>
        <v>0</v>
      </c>
      <c r="AQ39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39" t="s">
        <v>83</v>
      </c>
      <c r="AS39" t="str">
        <f t="shared" si="29"/>
        <v>Dr. Patel</v>
      </c>
      <c r="AT39" t="s">
        <v>97</v>
      </c>
      <c r="AU39" t="str">
        <f t="shared" si="30"/>
        <v>Patient Came Late</v>
      </c>
    </row>
    <row r="40" spans="1:47" ht="18" customHeight="1">
      <c r="A40" t="s">
        <v>338</v>
      </c>
      <c r="B40" t="str">
        <f t="shared" si="16"/>
        <v>P-0039</v>
      </c>
      <c r="C40" t="s">
        <v>161</v>
      </c>
      <c r="D40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Emeka</v>
      </c>
      <c r="E40" t="s">
        <v>260</v>
      </c>
      <c r="F40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Acheampong</v>
      </c>
      <c r="G40" s="9">
        <v>45</v>
      </c>
      <c r="H40" t="str">
        <f>IF(OR(MessyClinicPatients[[#This Row],[Age]]="",MessyClinicPatients[[#This Row],[Age]]="unknown"),"Missing",IF(OR(MessyClinicPatients[[#This Row],[Age]]&lt;0,MessyClinicPatients[[#This Row],[Age]]&gt;120),"Invalid Age","Valid"))</f>
        <v>Valid</v>
      </c>
      <c r="I40" t="s">
        <v>88</v>
      </c>
      <c r="J40" t="str">
        <f t="shared" si="17"/>
        <v>Female</v>
      </c>
      <c r="L40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40" t="s">
        <v>340</v>
      </c>
      <c r="N40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+233246797566</v>
      </c>
      <c r="O40" t="s">
        <v>341</v>
      </c>
      <c r="P40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emeka_acheampong@clinicmail.org</v>
      </c>
      <c r="Q40" t="s">
        <v>46</v>
      </c>
      <c r="R40" t="str">
        <f t="shared" si="18"/>
        <v>Tema</v>
      </c>
      <c r="T40" s="8" t="str">
        <f>IF(S40="","",IF(ISNUMBER(S40),S40,IF(AND(LEN(S40)=10,MID(S40,5,1)="-"),IFERROR(DATE(VALUE(LEFT(S40,4)),VALUE(MID(S40,6,2)),VALUE(RIGHT(S40,2))),"Invalid Date"),IF(AND(LEN(S40)=10,MID(S40,3,1)="/"),IFERROR(DATE(VALUE(RIGHT(S40,4)),VALUE(MID(S40,4,2)),VALUE(LEFT(S40,2))),"Invalid Date"),IF(AND(LEN(S40)=10,MID(S40,5,1)="/"),"Invalid Date",IFERROR(DATE(VALUE(RIGHT(S40,4)),MATCH(LEFT(S40,3),{"Jan","Feb","Mar","Apr","May","Jun","Jul","Aug","Sep","Oct","Nov","Dec"},0),VALUE(MID(S40,5,FIND(",",S40)-5))),"Invalid Date"))))))</f>
        <v/>
      </c>
      <c r="U40" t="s">
        <v>48</v>
      </c>
      <c r="V40" t="str">
        <f t="shared" si="19"/>
        <v>Routine Checkup</v>
      </c>
      <c r="W40" t="s">
        <v>49</v>
      </c>
      <c r="X40" t="str">
        <f t="shared" si="20"/>
        <v>None</v>
      </c>
      <c r="Y40" t="s">
        <v>342</v>
      </c>
      <c r="Z40" t="str">
        <f t="shared" si="21"/>
        <v/>
      </c>
      <c r="AA40" t="str">
        <f t="shared" si="22"/>
        <v>Missing</v>
      </c>
      <c r="AC40" s="6" t="str">
        <f t="shared" si="7"/>
        <v/>
      </c>
      <c r="AD40" s="6" t="str">
        <f t="shared" si="23"/>
        <v>Missing</v>
      </c>
      <c r="AE40" t="s">
        <v>204</v>
      </c>
      <c r="AF40" t="str">
        <f t="shared" si="24"/>
        <v/>
      </c>
      <c r="AG40" t="str">
        <f t="shared" si="25"/>
        <v>Missing</v>
      </c>
      <c r="AI40" t="str">
        <f t="shared" si="26"/>
        <v/>
      </c>
      <c r="AJ40" s="5" t="s">
        <v>343</v>
      </c>
      <c r="AK40">
        <f>IF(TRIM(AJ40)="","",IF(LOWER(TRIM(AJ40))="one hundred",100,IFERROR(IF(VALUE(SUBSTITUTE(UPPER(TRIM(AJ40)),"GHS",""))&lt;0,"",VALUE(SUBSTITUTE(UPPER(TRIM(AJ40)),"GHS",""))),"")))</f>
        <v>263.5</v>
      </c>
      <c r="AL40" t="s">
        <v>53</v>
      </c>
      <c r="AM40">
        <f t="shared" si="27"/>
        <v>0</v>
      </c>
      <c r="AN40" t="s">
        <v>68</v>
      </c>
      <c r="AO40" t="str">
        <f t="shared" si="28"/>
        <v>Paid</v>
      </c>
      <c r="AP40">
        <f>IF(OR(MessyClinicPatients[[#This Row],[Clean Total Bill]]="",MessyClinicPatients[[#This Row],[Clean Amount Paid]]=""),"",MessyClinicPatients[[#This Row],[Clean Total Bill]]-MessyClinicPatients[[#This Row],[Clean Amount Paid]])</f>
        <v>263.5</v>
      </c>
      <c r="AQ40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S40" t="str">
        <f t="shared" si="29"/>
        <v/>
      </c>
      <c r="AU40" t="str">
        <f t="shared" si="30"/>
        <v/>
      </c>
    </row>
    <row r="41" spans="1:47" ht="18" customHeight="1">
      <c r="B41" t="str">
        <f t="shared" si="16"/>
        <v/>
      </c>
      <c r="C41" t="s">
        <v>241</v>
      </c>
      <c r="D41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Aisha</v>
      </c>
      <c r="E41" t="s">
        <v>344</v>
      </c>
      <c r="F41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Boateng</v>
      </c>
      <c r="G41" s="9">
        <v>66</v>
      </c>
      <c r="H41" t="str">
        <f>IF(OR(MessyClinicPatients[[#This Row],[Age]]="",MessyClinicPatients[[#This Row],[Age]]="unknown"),"Missing",IF(OR(MessyClinicPatients[[#This Row],[Age]]&lt;0,MessyClinicPatients[[#This Row],[Age]]&gt;120),"Invalid Age","Valid"))</f>
        <v>Valid</v>
      </c>
      <c r="I41" t="s">
        <v>59</v>
      </c>
      <c r="J41" t="str">
        <f t="shared" si="17"/>
        <v>Female</v>
      </c>
      <c r="K41" t="s">
        <v>346</v>
      </c>
      <c r="L41" s="8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22058</v>
      </c>
      <c r="N41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41" t="s">
        <v>347</v>
      </c>
      <c r="P41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aisha.boateng@email.com</v>
      </c>
      <c r="R41" t="str">
        <f t="shared" si="18"/>
        <v/>
      </c>
      <c r="S41" t="s">
        <v>348</v>
      </c>
      <c r="T41" s="8">
        <f>IF(S41="","",IF(ISNUMBER(S41),S41,IF(AND(LEN(S41)=10,MID(S41,5,1)="-"),IFERROR(DATE(VALUE(LEFT(S41,4)),VALUE(MID(S41,6,2)),VALUE(RIGHT(S41,2))),"Invalid Date"),IF(AND(LEN(S41)=10,MID(S41,3,1)="/"),IFERROR(DATE(VALUE(RIGHT(S41,4)),VALUE(MID(S41,4,2)),VALUE(LEFT(S41,2))),"Invalid Date"),IF(AND(LEN(S41)=10,MID(S41,5,1)="/"),"Invalid Date",IFERROR(DATE(VALUE(RIGHT(S41,4)),MATCH(LEFT(S41,3),{"Jan","Feb","Mar","Apr","May","Jun","Jul","Aug","Sep","Oct","Nov","Dec"},0),VALUE(MID(S41,5,FIND(",",S41)-5))),"Invalid Date"))))))</f>
        <v>46075</v>
      </c>
      <c r="U41" t="s">
        <v>102</v>
      </c>
      <c r="V41" t="str">
        <f t="shared" si="19"/>
        <v>Consultation</v>
      </c>
      <c r="W41" t="s">
        <v>103</v>
      </c>
      <c r="X41" t="str">
        <f t="shared" si="20"/>
        <v>Diabetes</v>
      </c>
      <c r="Y41" t="s">
        <v>349</v>
      </c>
      <c r="Z41" t="str">
        <f t="shared" si="21"/>
        <v>132/80</v>
      </c>
      <c r="AA41" t="str">
        <f t="shared" si="22"/>
        <v>Valid</v>
      </c>
      <c r="AC41" s="6" t="str">
        <f t="shared" si="7"/>
        <v/>
      </c>
      <c r="AD41" s="6" t="str">
        <f t="shared" si="23"/>
        <v>Missing</v>
      </c>
      <c r="AF41" t="str">
        <f t="shared" si="24"/>
        <v/>
      </c>
      <c r="AG41" t="str">
        <f t="shared" si="25"/>
        <v>Missing</v>
      </c>
      <c r="AI41" t="str">
        <f t="shared" si="26"/>
        <v/>
      </c>
      <c r="AJ41" s="5" t="s">
        <v>350</v>
      </c>
      <c r="AK41">
        <f>IF(TRIM(AJ41)="","",IF(LOWER(TRIM(AJ41))="one hundred",100,IFERROR(IF(VALUE(SUBSTITUTE(UPPER(TRIM(AJ41)),"GHS",""))&lt;0,"",VALUE(SUBSTITUTE(UPPER(TRIM(AJ41)),"GHS",""))),"")))</f>
        <v>568.29</v>
      </c>
      <c r="AL41" t="s">
        <v>53</v>
      </c>
      <c r="AM41">
        <f t="shared" si="27"/>
        <v>0</v>
      </c>
      <c r="AN41" t="s">
        <v>147</v>
      </c>
      <c r="AO41" t="str">
        <f t="shared" si="28"/>
        <v>Paid</v>
      </c>
      <c r="AP41">
        <f>IF(OR(MessyClinicPatients[[#This Row],[Clean Total Bill]]="",MessyClinicPatients[[#This Row],[Clean Amount Paid]]=""),"",MessyClinicPatients[[#This Row],[Clean Total Bill]]-MessyClinicPatients[[#This Row],[Clean Amount Paid]])</f>
        <v>568.29</v>
      </c>
      <c r="AQ41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S41" t="str">
        <f t="shared" si="29"/>
        <v/>
      </c>
      <c r="AT41" t="s">
        <v>97</v>
      </c>
      <c r="AU41" t="str">
        <f t="shared" si="30"/>
        <v>Patient Came Late</v>
      </c>
    </row>
    <row r="42" spans="1:47" ht="18" customHeight="1">
      <c r="B42" t="str">
        <f t="shared" si="16"/>
        <v/>
      </c>
      <c r="C42" t="s">
        <v>218</v>
      </c>
      <c r="D42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Ama</v>
      </c>
      <c r="E42" t="s">
        <v>282</v>
      </c>
      <c r="F42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Cole</v>
      </c>
      <c r="G42" t="s">
        <v>24</v>
      </c>
      <c r="H42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42" t="s">
        <v>163</v>
      </c>
      <c r="J42" t="str">
        <f t="shared" si="17"/>
        <v>Male</v>
      </c>
      <c r="L42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42" t="s">
        <v>351</v>
      </c>
      <c r="N42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+233245397626</v>
      </c>
      <c r="O42" t="s">
        <v>352</v>
      </c>
      <c r="P42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Q42" t="s">
        <v>110</v>
      </c>
      <c r="R42" t="str">
        <f t="shared" si="18"/>
        <v>Kumasi</v>
      </c>
      <c r="T42" s="8" t="str">
        <f>IF(S42="","",IF(ISNUMBER(S42),S42,IF(AND(LEN(S42)=10,MID(S42,5,1)="-"),IFERROR(DATE(VALUE(LEFT(S42,4)),VALUE(MID(S42,6,2)),VALUE(RIGHT(S42,2))),"Invalid Date"),IF(AND(LEN(S42)=10,MID(S42,3,1)="/"),IFERROR(DATE(VALUE(RIGHT(S42,4)),VALUE(MID(S42,4,2)),VALUE(LEFT(S42,2))),"Invalid Date"),IF(AND(LEN(S42)=10,MID(S42,5,1)="/"),"Invalid Date",IFERROR(DATE(VALUE(RIGHT(S42,4)),MATCH(LEFT(S42,3),{"Jan","Feb","Mar","Apr","May","Jun","Jul","Aug","Sep","Oct","Nov","Dec"},0),VALUE(MID(S42,5,FIND(",",S42)-5))),"Invalid Date"))))))</f>
        <v/>
      </c>
      <c r="U42" t="s">
        <v>134</v>
      </c>
      <c r="V42" t="str">
        <f t="shared" si="19"/>
        <v>Follow-up</v>
      </c>
      <c r="W42" t="s">
        <v>195</v>
      </c>
      <c r="X42" t="str">
        <f t="shared" si="20"/>
        <v>Skin Rash</v>
      </c>
      <c r="Y42" t="s">
        <v>179</v>
      </c>
      <c r="Z42" t="str">
        <f t="shared" si="21"/>
        <v/>
      </c>
      <c r="AA42" t="str">
        <f t="shared" si="22"/>
        <v>Missing</v>
      </c>
      <c r="AB42" t="s">
        <v>353</v>
      </c>
      <c r="AC42" s="6">
        <f t="shared" si="7"/>
        <v>37.611111111111114</v>
      </c>
      <c r="AD42" s="6" t="str">
        <f t="shared" si="23"/>
        <v>Fahrenheit Converted</v>
      </c>
      <c r="AE42" t="s">
        <v>80</v>
      </c>
      <c r="AF42">
        <f t="shared" si="24"/>
        <v>80</v>
      </c>
      <c r="AG42" t="str">
        <f t="shared" si="25"/>
        <v>Valid</v>
      </c>
      <c r="AH42" t="s">
        <v>93</v>
      </c>
      <c r="AI42" t="str">
        <f t="shared" si="26"/>
        <v>Private</v>
      </c>
      <c r="AJ42" s="5" t="s">
        <v>354</v>
      </c>
      <c r="AK42">
        <f>IF(TRIM(AJ42)="","",IF(LOWER(TRIM(AJ42))="one hundred",100,IFERROR(IF(VALUE(SUBSTITUTE(UPPER(TRIM(AJ42)),"GHS",""))&lt;0,"",VALUE(SUBSTITUTE(UPPER(TRIM(AJ42)),"GHS",""))),"")))</f>
        <v>502.58</v>
      </c>
      <c r="AL42" t="s">
        <v>354</v>
      </c>
      <c r="AM42">
        <f t="shared" si="27"/>
        <v>502.58</v>
      </c>
      <c r="AN42" t="s">
        <v>137</v>
      </c>
      <c r="AO42" t="str">
        <f t="shared" si="28"/>
        <v>Unpaid</v>
      </c>
      <c r="AP42">
        <f>IF(OR(MessyClinicPatients[[#This Row],[Clean Total Bill]]="",MessyClinicPatients[[#This Row],[Clean Amount Paid]]=""),"",MessyClinicPatients[[#This Row],[Clean Total Bill]]-MessyClinicPatients[[#This Row],[Clean Amount Paid]])</f>
        <v>0</v>
      </c>
      <c r="AQ42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42" t="s">
        <v>69</v>
      </c>
      <c r="AS42" t="str">
        <f t="shared" si="29"/>
        <v>Dr. Mensah</v>
      </c>
      <c r="AT42" t="s">
        <v>40</v>
      </c>
      <c r="AU42" t="str">
        <f t="shared" si="30"/>
        <v>Needs Follow-Up</v>
      </c>
    </row>
    <row r="43" spans="1:47" ht="18" customHeight="1">
      <c r="A43" t="s">
        <v>355</v>
      </c>
      <c r="B43" t="str">
        <f t="shared" si="16"/>
        <v>P-0042</v>
      </c>
      <c r="C43" t="s">
        <v>356</v>
      </c>
      <c r="D43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Linda</v>
      </c>
      <c r="E43" t="s">
        <v>357</v>
      </c>
      <c r="F43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Lawal</v>
      </c>
      <c r="H43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J43" t="str">
        <f t="shared" si="17"/>
        <v/>
      </c>
      <c r="L43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43" t="s">
        <v>61</v>
      </c>
      <c r="N43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Invalid Phone</v>
      </c>
      <c r="O43" t="s">
        <v>358</v>
      </c>
      <c r="P43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Q43" t="s">
        <v>91</v>
      </c>
      <c r="R43" t="str">
        <f t="shared" si="18"/>
        <v>Lagos</v>
      </c>
      <c r="T43" s="8" t="str">
        <f>IF(S43="","",IF(ISNUMBER(S43),S43,IF(AND(LEN(S43)=10,MID(S43,5,1)="-"),IFERROR(DATE(VALUE(LEFT(S43,4)),VALUE(MID(S43,6,2)),VALUE(RIGHT(S43,2))),"Invalid Date"),IF(AND(LEN(S43)=10,MID(S43,3,1)="/"),IFERROR(DATE(VALUE(RIGHT(S43,4)),VALUE(MID(S43,4,2)),VALUE(LEFT(S43,2))),"Invalid Date"),IF(AND(LEN(S43)=10,MID(S43,5,1)="/"),"Invalid Date",IFERROR(DATE(VALUE(RIGHT(S43,4)),MATCH(LEFT(S43,3),{"Jan","Feb","Mar","Apr","May","Jun","Jul","Aug","Sep","Oct","Nov","Dec"},0),VALUE(MID(S43,5,FIND(",",S43)-5))),"Invalid Date"))))))</f>
        <v/>
      </c>
      <c r="U43" t="s">
        <v>48</v>
      </c>
      <c r="V43" t="str">
        <f t="shared" si="19"/>
        <v>Routine Checkup</v>
      </c>
      <c r="W43" t="s">
        <v>78</v>
      </c>
      <c r="X43" t="str">
        <f t="shared" si="20"/>
        <v>Back Pain</v>
      </c>
      <c r="Y43" t="s">
        <v>359</v>
      </c>
      <c r="Z43" t="str">
        <f t="shared" si="21"/>
        <v/>
      </c>
      <c r="AA43" t="str">
        <f t="shared" si="22"/>
        <v>Missing</v>
      </c>
      <c r="AB43" t="s">
        <v>33</v>
      </c>
      <c r="AC43" s="6" t="str">
        <f t="shared" si="7"/>
        <v/>
      </c>
      <c r="AD43" s="6" t="str">
        <f t="shared" si="23"/>
        <v>Missing</v>
      </c>
      <c r="AE43" t="s">
        <v>80</v>
      </c>
      <c r="AF43">
        <f t="shared" si="24"/>
        <v>80</v>
      </c>
      <c r="AG43" t="str">
        <f t="shared" si="25"/>
        <v>Valid</v>
      </c>
      <c r="AH43" t="s">
        <v>114</v>
      </c>
      <c r="AI43" t="str">
        <f t="shared" si="26"/>
        <v>NHIS</v>
      </c>
      <c r="AJ43" s="5" t="s">
        <v>360</v>
      </c>
      <c r="AK43">
        <f>IF(TRIM(AJ43)="","",IF(LOWER(TRIM(AJ43))="one hundred",100,IFERROR(IF(VALUE(SUBSTITUTE(UPPER(TRIM(AJ43)),"GHS",""))&lt;0,"",VALUE(SUBSTITUTE(UPPER(TRIM(AJ43)),"GHS",""))),"")))</f>
        <v>289.08999999999997</v>
      </c>
      <c r="AL43" t="s">
        <v>37</v>
      </c>
      <c r="AM43">
        <f t="shared" si="27"/>
        <v>100</v>
      </c>
      <c r="AN43" t="s">
        <v>95</v>
      </c>
      <c r="AO43" t="str">
        <f t="shared" si="28"/>
        <v>Pending</v>
      </c>
      <c r="AP43">
        <f>IF(OR(MessyClinicPatients[[#This Row],[Clean Total Bill]]="",MessyClinicPatients[[#This Row],[Clean Amount Paid]]=""),"",MessyClinicPatients[[#This Row],[Clean Total Bill]]-MessyClinicPatients[[#This Row],[Clean Amount Paid]])</f>
        <v>189.08999999999997</v>
      </c>
      <c r="AQ43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43" t="s">
        <v>148</v>
      </c>
      <c r="AS43" t="str">
        <f t="shared" si="29"/>
        <v>Dr. Mensah</v>
      </c>
      <c r="AT43" t="s">
        <v>40</v>
      </c>
      <c r="AU43" t="str">
        <f t="shared" si="30"/>
        <v>Needs Follow-Up</v>
      </c>
    </row>
    <row r="44" spans="1:47" ht="18" customHeight="1">
      <c r="A44" t="s">
        <v>361</v>
      </c>
      <c r="B44" t="str">
        <f t="shared" si="16"/>
        <v>P-1043</v>
      </c>
      <c r="C44" t="s">
        <v>356</v>
      </c>
      <c r="D44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Linda</v>
      </c>
      <c r="E44" t="s">
        <v>130</v>
      </c>
      <c r="F44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Mbeki</v>
      </c>
      <c r="G44" t="s">
        <v>24</v>
      </c>
      <c r="H44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44" t="s">
        <v>88</v>
      </c>
      <c r="J44" t="str">
        <f t="shared" si="17"/>
        <v>Female</v>
      </c>
      <c r="L44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44" t="s">
        <v>362</v>
      </c>
      <c r="N44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+233245621616</v>
      </c>
      <c r="O44" t="s">
        <v>363</v>
      </c>
      <c r="P44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linda.mbeki@email.com</v>
      </c>
      <c r="Q44" t="s">
        <v>28</v>
      </c>
      <c r="R44" t="str">
        <f t="shared" si="18"/>
        <v>Ibadan</v>
      </c>
      <c r="S44" t="s">
        <v>92</v>
      </c>
      <c r="T44" s="8" t="str">
        <f>IF(S44="","",IF(ISNUMBER(S44),S44,IF(AND(LEN(S44)=10,MID(S44,5,1)="-"),IFERROR(DATE(VALUE(LEFT(S44,4)),VALUE(MID(S44,6,2)),VALUE(RIGHT(S44,2))),"Invalid Date"),IF(AND(LEN(S44)=10,MID(S44,3,1)="/"),IFERROR(DATE(VALUE(RIGHT(S44,4)),VALUE(MID(S44,4,2)),VALUE(LEFT(S44,2))),"Invalid Date"),IF(AND(LEN(S44)=10,MID(S44,5,1)="/"),"Invalid Date",IFERROR(DATE(VALUE(RIGHT(S44,4)),MATCH(LEFT(S44,3),{"Jan","Feb","Mar","Apr","May","Jun","Jul","Aug","Sep","Oct","Nov","Dec"},0),VALUE(MID(S44,5,FIND(",",S44)-5))),"Invalid Date"))))))</f>
        <v>Invalid Date</v>
      </c>
      <c r="U44" t="s">
        <v>134</v>
      </c>
      <c r="V44" t="str">
        <f t="shared" si="19"/>
        <v>Follow-up</v>
      </c>
      <c r="W44" t="s">
        <v>195</v>
      </c>
      <c r="X44" t="str">
        <f t="shared" si="20"/>
        <v>Skin Rash</v>
      </c>
      <c r="Y44" t="s">
        <v>364</v>
      </c>
      <c r="Z44" t="str">
        <f t="shared" si="21"/>
        <v/>
      </c>
      <c r="AA44" t="str">
        <f t="shared" si="22"/>
        <v>Missing</v>
      </c>
      <c r="AB44" t="s">
        <v>365</v>
      </c>
      <c r="AC44" s="6">
        <f t="shared" si="7"/>
        <v>36.611111111111114</v>
      </c>
      <c r="AD44" s="6" t="str">
        <f t="shared" si="23"/>
        <v>Fahrenheit Converted</v>
      </c>
      <c r="AE44" t="s">
        <v>366</v>
      </c>
      <c r="AF44">
        <f t="shared" si="24"/>
        <v>61.7</v>
      </c>
      <c r="AG44" t="str">
        <f t="shared" si="25"/>
        <v>Valid</v>
      </c>
      <c r="AH44" t="s">
        <v>49</v>
      </c>
      <c r="AI44" t="str">
        <f t="shared" si="26"/>
        <v>None</v>
      </c>
      <c r="AJ44" s="5" t="s">
        <v>367</v>
      </c>
      <c r="AK44">
        <f>IF(TRIM(AJ44)="","",IF(LOWER(TRIM(AJ44))="one hundred",100,IFERROR(IF(VALUE(SUBSTITUTE(UPPER(TRIM(AJ44)),"GHS",""))&lt;0,"",VALUE(SUBSTITUTE(UPPER(TRIM(AJ44)),"GHS",""))),"")))</f>
        <v>314.10000000000002</v>
      </c>
      <c r="AL44" t="s">
        <v>37</v>
      </c>
      <c r="AM44">
        <f t="shared" si="27"/>
        <v>100</v>
      </c>
      <c r="AO44" t="str">
        <f t="shared" si="28"/>
        <v/>
      </c>
      <c r="AP44">
        <f>IF(OR(MessyClinicPatients[[#This Row],[Clean Total Bill]]="",MessyClinicPatients[[#This Row],[Clean Amount Paid]]=""),"",MessyClinicPatients[[#This Row],[Clean Total Bill]]-MessyClinicPatients[[#This Row],[Clean Amount Paid]])</f>
        <v>214.10000000000002</v>
      </c>
      <c r="AQ44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44" t="s">
        <v>211</v>
      </c>
      <c r="AS44" t="str">
        <f t="shared" si="29"/>
        <v>Nurse Ama</v>
      </c>
      <c r="AT44" t="s">
        <v>274</v>
      </c>
      <c r="AU44" t="str">
        <f t="shared" si="30"/>
        <v>Repeated Record?</v>
      </c>
    </row>
    <row r="45" spans="1:47" ht="18" customHeight="1">
      <c r="A45" t="s">
        <v>368</v>
      </c>
      <c r="B45" t="str">
        <f t="shared" si="16"/>
        <v>P-0044</v>
      </c>
      <c r="C45" t="s">
        <v>119</v>
      </c>
      <c r="D45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Peter</v>
      </c>
      <c r="E45" t="s">
        <v>130</v>
      </c>
      <c r="F45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Mbeki</v>
      </c>
      <c r="G45" s="9">
        <v>130</v>
      </c>
      <c r="H45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45" t="s">
        <v>25</v>
      </c>
      <c r="J45" t="str">
        <f t="shared" si="17"/>
        <v>Other</v>
      </c>
      <c r="L45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45" t="s">
        <v>61</v>
      </c>
      <c r="N45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Invalid Phone</v>
      </c>
      <c r="O45" t="s">
        <v>369</v>
      </c>
      <c r="P45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peter.mbeki@email.com</v>
      </c>
      <c r="Q45" t="s">
        <v>110</v>
      </c>
      <c r="R45" t="str">
        <f t="shared" si="18"/>
        <v>Kumasi</v>
      </c>
      <c r="S45" t="s">
        <v>370</v>
      </c>
      <c r="T45" s="8">
        <f>IF(S45="","",IF(ISNUMBER(S45),S45,IF(AND(LEN(S45)=10,MID(S45,5,1)="-"),IFERROR(DATE(VALUE(LEFT(S45,4)),VALUE(MID(S45,6,2)),VALUE(RIGHT(S45,2))),"Invalid Date"),IF(AND(LEN(S45)=10,MID(S45,3,1)="/"),IFERROR(DATE(VALUE(RIGHT(S45,4)),VALUE(MID(S45,4,2)),VALUE(LEFT(S45,2))),"Invalid Date"),IF(AND(LEN(S45)=10,MID(S45,5,1)="/"),"Invalid Date",IFERROR(DATE(VALUE(RIGHT(S45,4)),MATCH(LEFT(S45,3),{"Jan","Feb","Mar","Apr","May","Jun","Jul","Aug","Sep","Oct","Nov","Dec"},0),VALUE(MID(S45,5,FIND(",",S45)-5))),"Invalid Date"))))))</f>
        <v>46184</v>
      </c>
      <c r="U45" t="s">
        <v>134</v>
      </c>
      <c r="V45" t="str">
        <f t="shared" si="19"/>
        <v>Follow-up</v>
      </c>
      <c r="W45" t="s">
        <v>229</v>
      </c>
      <c r="X45" t="str">
        <f t="shared" si="20"/>
        <v>Flu</v>
      </c>
      <c r="Y45" t="s">
        <v>371</v>
      </c>
      <c r="Z45" t="str">
        <f t="shared" si="21"/>
        <v/>
      </c>
      <c r="AA45" t="str">
        <f t="shared" si="22"/>
        <v>Missing</v>
      </c>
      <c r="AC45" s="6" t="str">
        <f t="shared" si="7"/>
        <v/>
      </c>
      <c r="AD45" s="6" t="str">
        <f t="shared" si="23"/>
        <v>Missing</v>
      </c>
      <c r="AE45" t="s">
        <v>80</v>
      </c>
      <c r="AF45">
        <f t="shared" si="24"/>
        <v>80</v>
      </c>
      <c r="AG45" t="str">
        <f t="shared" si="25"/>
        <v>Valid</v>
      </c>
      <c r="AI45" t="str">
        <f t="shared" si="26"/>
        <v/>
      </c>
      <c r="AJ45" s="5" t="s">
        <v>372</v>
      </c>
      <c r="AK45">
        <f>IF(TRIM(AJ45)="","",IF(LOWER(TRIM(AJ45))="one hundred",100,IFERROR(IF(VALUE(SUBSTITUTE(UPPER(TRIM(AJ45)),"GHS",""))&lt;0,"",VALUE(SUBSTITUTE(UPPER(TRIM(AJ45)),"GHS",""))),"")))</f>
        <v>58.23</v>
      </c>
      <c r="AL45" t="s">
        <v>116</v>
      </c>
      <c r="AM45" t="str">
        <f t="shared" si="27"/>
        <v/>
      </c>
      <c r="AN45" t="s">
        <v>38</v>
      </c>
      <c r="AO45" t="str">
        <f t="shared" si="28"/>
        <v>Partially Paid</v>
      </c>
      <c r="AP45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45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45" t="s">
        <v>96</v>
      </c>
      <c r="AS45" t="str">
        <f t="shared" si="29"/>
        <v>Nurse Amina</v>
      </c>
      <c r="AT45" t="s">
        <v>159</v>
      </c>
      <c r="AU45" t="str">
        <f t="shared" si="30"/>
        <v>Missing Lab Results</v>
      </c>
    </row>
    <row r="46" spans="1:47" ht="18" customHeight="1">
      <c r="A46" t="s">
        <v>373</v>
      </c>
      <c r="B46" t="str">
        <f t="shared" si="16"/>
        <v>P-0045</v>
      </c>
      <c r="C46" t="s">
        <v>56</v>
      </c>
      <c r="D46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Ibrahim</v>
      </c>
      <c r="E46" t="s">
        <v>374</v>
      </c>
      <c r="F46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Adams</v>
      </c>
      <c r="G46" s="9">
        <v>130</v>
      </c>
      <c r="H46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46" t="s">
        <v>183</v>
      </c>
      <c r="J46" t="str">
        <f t="shared" si="17"/>
        <v>Male</v>
      </c>
      <c r="L46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46" t="s">
        <v>375</v>
      </c>
      <c r="N46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5701186940</v>
      </c>
      <c r="O46" t="s">
        <v>376</v>
      </c>
      <c r="P46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Q46" t="s">
        <v>76</v>
      </c>
      <c r="R46" t="str">
        <f t="shared" si="18"/>
        <v>Cape Coast</v>
      </c>
      <c r="T46" s="8" t="str">
        <f>IF(S46="","",IF(ISNUMBER(S46),S46,IF(AND(LEN(S46)=10,MID(S46,5,1)="-"),IFERROR(DATE(VALUE(LEFT(S46,4)),VALUE(MID(S46,6,2)),VALUE(RIGHT(S46,2))),"Invalid Date"),IF(AND(LEN(S46)=10,MID(S46,3,1)="/"),IFERROR(DATE(VALUE(RIGHT(S46,4)),VALUE(MID(S46,4,2)),VALUE(LEFT(S46,2))),"Invalid Date"),IF(AND(LEN(S46)=10,MID(S46,5,1)="/"),"Invalid Date",IFERROR(DATE(VALUE(RIGHT(S46,4)),MATCH(LEFT(S46,3),{"Jan","Feb","Mar","Apr","May","Jun","Jul","Aug","Sep","Oct","Nov","Dec"},0),VALUE(MID(S46,5,FIND(",",S46)-5))),"Invalid Date"))))))</f>
        <v/>
      </c>
      <c r="U46" t="s">
        <v>77</v>
      </c>
      <c r="V46" t="str">
        <f t="shared" si="19"/>
        <v>Emergency</v>
      </c>
      <c r="W46" t="s">
        <v>31</v>
      </c>
      <c r="X46" t="str">
        <f t="shared" si="20"/>
        <v>Malaria</v>
      </c>
      <c r="Y46" t="s">
        <v>377</v>
      </c>
      <c r="Z46" t="str">
        <f t="shared" si="21"/>
        <v>104/78</v>
      </c>
      <c r="AA46" t="str">
        <f t="shared" si="22"/>
        <v>Valid</v>
      </c>
      <c r="AB46" t="s">
        <v>378</v>
      </c>
      <c r="AC46" s="6">
        <f t="shared" si="7"/>
        <v>37.9</v>
      </c>
      <c r="AD46" s="6" t="str">
        <f t="shared" si="23"/>
        <v>Valid</v>
      </c>
      <c r="AE46" t="s">
        <v>204</v>
      </c>
      <c r="AF46" t="str">
        <f t="shared" si="24"/>
        <v/>
      </c>
      <c r="AG46" t="str">
        <f t="shared" si="25"/>
        <v>Missing</v>
      </c>
      <c r="AH46" t="s">
        <v>49</v>
      </c>
      <c r="AI46" t="str">
        <f t="shared" si="26"/>
        <v>None</v>
      </c>
      <c r="AJ46" s="5" t="s">
        <v>379</v>
      </c>
      <c r="AK46">
        <f>IF(TRIM(AJ46)="","",IF(LOWER(TRIM(AJ46))="one hundred",100,IFERROR(IF(VALUE(SUBSTITUTE(UPPER(TRIM(AJ46)),"GHS",""))&lt;0,"",VALUE(SUBSTITUTE(UPPER(TRIM(AJ46)),"GHS",""))),"")))</f>
        <v>131.36000000000001</v>
      </c>
      <c r="AL46" t="s">
        <v>379</v>
      </c>
      <c r="AM46">
        <f t="shared" si="27"/>
        <v>131.36000000000001</v>
      </c>
      <c r="AN46" t="s">
        <v>117</v>
      </c>
      <c r="AO46" t="str">
        <f t="shared" si="28"/>
        <v>Refunded</v>
      </c>
      <c r="AP46">
        <f>IF(OR(MessyClinicPatients[[#This Row],[Clean Total Bill]]="",MessyClinicPatients[[#This Row],[Clean Amount Paid]]=""),"",MessyClinicPatients[[#This Row],[Clean Total Bill]]-MessyClinicPatients[[#This Row],[Clean Amount Paid]])</f>
        <v>0</v>
      </c>
      <c r="AQ46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46" t="s">
        <v>96</v>
      </c>
      <c r="AS46" t="str">
        <f t="shared" si="29"/>
        <v>Nurse Amina</v>
      </c>
      <c r="AT46" t="s">
        <v>40</v>
      </c>
      <c r="AU46" t="str">
        <f t="shared" si="30"/>
        <v>Needs Follow-Up</v>
      </c>
    </row>
    <row r="47" spans="1:47" ht="18" customHeight="1">
      <c r="A47" t="s">
        <v>380</v>
      </c>
      <c r="B47" t="str">
        <f t="shared" si="16"/>
        <v>P-0046</v>
      </c>
      <c r="C47" t="s">
        <v>323</v>
      </c>
      <c r="D47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Michael</v>
      </c>
      <c r="E47" t="s">
        <v>282</v>
      </c>
      <c r="F47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Cole</v>
      </c>
      <c r="G47" s="9">
        <v>-3</v>
      </c>
      <c r="H47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47" t="s">
        <v>88</v>
      </c>
      <c r="J47" t="str">
        <f t="shared" si="17"/>
        <v>Female</v>
      </c>
      <c r="L47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47" t="s">
        <v>381</v>
      </c>
      <c r="N47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0248452417</v>
      </c>
      <c r="O47" t="s">
        <v>382</v>
      </c>
      <c r="P47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Q47" t="s">
        <v>46</v>
      </c>
      <c r="R47" t="str">
        <f t="shared" si="18"/>
        <v>Tema</v>
      </c>
      <c r="T47" s="8" t="str">
        <f>IF(S47="","",IF(ISNUMBER(S47),S47,IF(AND(LEN(S47)=10,MID(S47,5,1)="-"),IFERROR(DATE(VALUE(LEFT(S47,4)),VALUE(MID(S47,6,2)),VALUE(RIGHT(S47,2))),"Invalid Date"),IF(AND(LEN(S47)=10,MID(S47,3,1)="/"),IFERROR(DATE(VALUE(RIGHT(S47,4)),VALUE(MID(S47,4,2)),VALUE(LEFT(S47,2))),"Invalid Date"),IF(AND(LEN(S47)=10,MID(S47,5,1)="/"),"Invalid Date",IFERROR(DATE(VALUE(RIGHT(S47,4)),MATCH(LEFT(S47,3),{"Jan","Feb","Mar","Apr","May","Jun","Jul","Aug","Sep","Oct","Nov","Dec"},0),VALUE(MID(S47,5,FIND(",",S47)-5))),"Invalid Date"))))))</f>
        <v/>
      </c>
      <c r="U47" t="s">
        <v>144</v>
      </c>
      <c r="V47" t="str">
        <f t="shared" si="19"/>
        <v>Consultation</v>
      </c>
      <c r="W47" t="s">
        <v>49</v>
      </c>
      <c r="X47" t="str">
        <f t="shared" si="20"/>
        <v>None</v>
      </c>
      <c r="Z47" t="str">
        <f t="shared" si="21"/>
        <v/>
      </c>
      <c r="AA47" t="str">
        <f t="shared" si="22"/>
        <v>Missing</v>
      </c>
      <c r="AB47" t="s">
        <v>66</v>
      </c>
      <c r="AC47" s="6">
        <f t="shared" si="7"/>
        <v>37.5</v>
      </c>
      <c r="AD47" s="6" t="str">
        <f t="shared" si="23"/>
        <v>Fahrenheit Converted</v>
      </c>
      <c r="AF47" t="str">
        <f t="shared" si="24"/>
        <v/>
      </c>
      <c r="AG47" t="str">
        <f t="shared" si="25"/>
        <v>Missing</v>
      </c>
      <c r="AH47" t="s">
        <v>176</v>
      </c>
      <c r="AI47" t="str">
        <f t="shared" si="26"/>
        <v/>
      </c>
      <c r="AJ47" s="5" t="s">
        <v>383</v>
      </c>
      <c r="AK47">
        <f>IF(TRIM(AJ47)="","",IF(LOWER(TRIM(AJ47))="one hundred",100,IFERROR(IF(VALUE(SUBSTITUTE(UPPER(TRIM(AJ47)),"GHS",""))&lt;0,"",VALUE(SUBSTITUTE(UPPER(TRIM(AJ47)),"GHS",""))),"")))</f>
        <v>544.30999999999995</v>
      </c>
      <c r="AL47" t="s">
        <v>116</v>
      </c>
      <c r="AM47" t="str">
        <f t="shared" si="27"/>
        <v/>
      </c>
      <c r="AN47" t="s">
        <v>95</v>
      </c>
      <c r="AO47" t="str">
        <f t="shared" si="28"/>
        <v>Pending</v>
      </c>
      <c r="AP47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47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Pending</v>
      </c>
      <c r="AR47" t="s">
        <v>39</v>
      </c>
      <c r="AS47" t="str">
        <f t="shared" si="29"/>
        <v>Dr. Okoro</v>
      </c>
      <c r="AT47" t="s">
        <v>97</v>
      </c>
      <c r="AU47" t="str">
        <f t="shared" si="30"/>
        <v>Patient Came Late</v>
      </c>
    </row>
    <row r="48" spans="1:47" ht="18" customHeight="1">
      <c r="A48" t="s">
        <v>384</v>
      </c>
      <c r="B48" t="str">
        <f t="shared" si="16"/>
        <v>P-0047</v>
      </c>
      <c r="C48" t="s">
        <v>212</v>
      </c>
      <c r="D48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Victoria</v>
      </c>
      <c r="E48" t="s">
        <v>130</v>
      </c>
      <c r="F48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Mbeki</v>
      </c>
      <c r="G48" t="s">
        <v>24</v>
      </c>
      <c r="H48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48" t="s">
        <v>163</v>
      </c>
      <c r="J48" t="str">
        <f t="shared" si="17"/>
        <v>Male</v>
      </c>
      <c r="L48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48" t="s">
        <v>176</v>
      </c>
      <c r="N48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48" t="s">
        <v>385</v>
      </c>
      <c r="P48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Q48" t="s">
        <v>110</v>
      </c>
      <c r="R48" t="str">
        <f t="shared" si="18"/>
        <v>Kumasi</v>
      </c>
      <c r="S48" t="s">
        <v>386</v>
      </c>
      <c r="T48" s="8">
        <f>IF(S48="","",IF(ISNUMBER(S48),S48,IF(AND(LEN(S48)=10,MID(S48,5,1)="-"),IFERROR(DATE(VALUE(LEFT(S48,4)),VALUE(MID(S48,6,2)),VALUE(RIGHT(S48,2))),"Invalid Date"),IF(AND(LEN(S48)=10,MID(S48,3,1)="/"),IFERROR(DATE(VALUE(RIGHT(S48,4)),VALUE(MID(S48,4,2)),VALUE(LEFT(S48,2))),"Invalid Date"),IF(AND(LEN(S48)=10,MID(S48,5,1)="/"),"Invalid Date",IFERROR(DATE(VALUE(RIGHT(S48,4)),MATCH(LEFT(S48,3),{"Jan","Feb","Mar","Apr","May","Jun","Jul","Aug","Sep","Oct","Nov","Dec"},0),VALUE(MID(S48,5,FIND(",",S48)-5))),"Invalid Date"))))))</f>
        <v>46138</v>
      </c>
      <c r="U48" t="s">
        <v>77</v>
      </c>
      <c r="V48" t="str">
        <f t="shared" si="19"/>
        <v>Emergency</v>
      </c>
      <c r="W48" t="s">
        <v>124</v>
      </c>
      <c r="X48" t="str">
        <f t="shared" si="20"/>
        <v>Hypertension</v>
      </c>
      <c r="Y48" t="s">
        <v>179</v>
      </c>
      <c r="Z48" t="str">
        <f t="shared" si="21"/>
        <v/>
      </c>
      <c r="AA48" t="str">
        <f t="shared" si="22"/>
        <v>Missing</v>
      </c>
      <c r="AB48" t="s">
        <v>387</v>
      </c>
      <c r="AC48" s="6">
        <f t="shared" si="7"/>
        <v>40.5</v>
      </c>
      <c r="AD48" s="6" t="str">
        <f t="shared" si="23"/>
        <v>Valid</v>
      </c>
      <c r="AE48" t="s">
        <v>388</v>
      </c>
      <c r="AF48">
        <f t="shared" si="24"/>
        <v>40.299999999999997</v>
      </c>
      <c r="AG48" t="str">
        <f t="shared" si="25"/>
        <v>Valid</v>
      </c>
      <c r="AH48" t="s">
        <v>114</v>
      </c>
      <c r="AI48" t="str">
        <f t="shared" si="26"/>
        <v>NHIS</v>
      </c>
      <c r="AJ48" s="5" t="s">
        <v>389</v>
      </c>
      <c r="AK48">
        <f>IF(TRIM(AJ48)="","",IF(LOWER(TRIM(AJ48))="one hundred",100,IFERROR(IF(VALUE(SUBSTITUTE(UPPER(TRIM(AJ48)),"GHS",""))&lt;0,"",VALUE(SUBSTITUTE(UPPER(TRIM(AJ48)),"GHS",""))),"")))</f>
        <v>559.66999999999996</v>
      </c>
      <c r="AM48" t="str">
        <f t="shared" si="27"/>
        <v/>
      </c>
      <c r="AN48" t="s">
        <v>68</v>
      </c>
      <c r="AO48" t="str">
        <f t="shared" si="28"/>
        <v>Paid</v>
      </c>
      <c r="AP48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48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48" t="s">
        <v>96</v>
      </c>
      <c r="AS48" t="str">
        <f t="shared" si="29"/>
        <v>Nurse Amina</v>
      </c>
      <c r="AT48" t="s">
        <v>159</v>
      </c>
      <c r="AU48" t="str">
        <f t="shared" si="30"/>
        <v>Missing Lab Results</v>
      </c>
    </row>
    <row r="49" spans="1:47" ht="18" customHeight="1">
      <c r="B49" t="str">
        <f t="shared" si="16"/>
        <v/>
      </c>
      <c r="C49" t="s">
        <v>390</v>
      </c>
      <c r="D49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Nana</v>
      </c>
      <c r="E49" t="s">
        <v>374</v>
      </c>
      <c r="F49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Adams</v>
      </c>
      <c r="G49" s="9">
        <v>-3</v>
      </c>
      <c r="H49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49" t="s">
        <v>59</v>
      </c>
      <c r="J49" t="str">
        <f t="shared" si="17"/>
        <v>Female</v>
      </c>
      <c r="L49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N49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49" t="s">
        <v>391</v>
      </c>
      <c r="P49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nana_adams@clinicmail.org</v>
      </c>
      <c r="Q49" t="s">
        <v>101</v>
      </c>
      <c r="R49" t="str">
        <f t="shared" si="18"/>
        <v>Accra</v>
      </c>
      <c r="T49" s="8" t="str">
        <f>IF(S49="","",IF(ISNUMBER(S49),S49,IF(AND(LEN(S49)=10,MID(S49,5,1)="-"),IFERROR(DATE(VALUE(LEFT(S49,4)),VALUE(MID(S49,6,2)),VALUE(RIGHT(S49,2))),"Invalid Date"),IF(AND(LEN(S49)=10,MID(S49,3,1)="/"),IFERROR(DATE(VALUE(RIGHT(S49,4)),VALUE(MID(S49,4,2)),VALUE(LEFT(S49,2))),"Invalid Date"),IF(AND(LEN(S49)=10,MID(S49,5,1)="/"),"Invalid Date",IFERROR(DATE(VALUE(RIGHT(S49,4)),MATCH(LEFT(S49,3),{"Jan","Feb","Mar","Apr","May","Jun","Jul","Aug","Sep","Oct","Nov","Dec"},0),VALUE(MID(S49,5,FIND(",",S49)-5))),"Invalid Date"))))))</f>
        <v/>
      </c>
      <c r="V49" t="str">
        <f t="shared" si="19"/>
        <v/>
      </c>
      <c r="W49" t="s">
        <v>297</v>
      </c>
      <c r="X49" t="str">
        <f t="shared" si="20"/>
        <v>COVID-19</v>
      </c>
      <c r="Y49" t="s">
        <v>179</v>
      </c>
      <c r="Z49" t="str">
        <f t="shared" si="21"/>
        <v/>
      </c>
      <c r="AA49" t="str">
        <f t="shared" si="22"/>
        <v>Missing</v>
      </c>
      <c r="AB49" t="s">
        <v>392</v>
      </c>
      <c r="AC49" s="6">
        <f t="shared" si="7"/>
        <v>38.6</v>
      </c>
      <c r="AD49" s="6" t="str">
        <f t="shared" si="23"/>
        <v>Valid</v>
      </c>
      <c r="AE49" t="s">
        <v>238</v>
      </c>
      <c r="AF49" t="str">
        <f t="shared" si="24"/>
        <v/>
      </c>
      <c r="AG49" t="str">
        <f t="shared" si="25"/>
        <v>Missing</v>
      </c>
      <c r="AH49" t="s">
        <v>35</v>
      </c>
      <c r="AI49" t="str">
        <f t="shared" si="26"/>
        <v>Corporate</v>
      </c>
      <c r="AJ49" s="5" t="s">
        <v>393</v>
      </c>
      <c r="AK49">
        <f>IF(TRIM(AJ49)="","",IF(LOWER(TRIM(AJ49))="one hundred",100,IFERROR(IF(VALUE(SUBSTITUTE(UPPER(TRIM(AJ49)),"GHS",""))&lt;0,"",VALUE(SUBSTITUTE(UPPER(TRIM(AJ49)),"GHS",""))),"")))</f>
        <v>84.49</v>
      </c>
      <c r="AL49" t="s">
        <v>53</v>
      </c>
      <c r="AM49">
        <f t="shared" si="27"/>
        <v>0</v>
      </c>
      <c r="AN49" t="s">
        <v>38</v>
      </c>
      <c r="AO49" t="str">
        <f t="shared" si="28"/>
        <v>Partially Paid</v>
      </c>
      <c r="AP49">
        <f>IF(OR(MessyClinicPatients[[#This Row],[Clean Total Bill]]="",MessyClinicPatients[[#This Row],[Clean Amount Paid]]=""),"",MessyClinicPatients[[#This Row],[Clean Total Bill]]-MessyClinicPatients[[#This Row],[Clean Amount Paid]])</f>
        <v>84.49</v>
      </c>
      <c r="AQ49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S49" t="str">
        <f t="shared" si="29"/>
        <v/>
      </c>
      <c r="AT49" t="s">
        <v>97</v>
      </c>
      <c r="AU49" t="str">
        <f t="shared" si="30"/>
        <v>Patient Came Late</v>
      </c>
    </row>
    <row r="50" spans="1:47" ht="18" customHeight="1">
      <c r="B50" t="str">
        <f t="shared" si="16"/>
        <v/>
      </c>
      <c r="C50" t="s">
        <v>218</v>
      </c>
      <c r="D50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Ama</v>
      </c>
      <c r="E50" t="s">
        <v>394</v>
      </c>
      <c r="F50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Eze</v>
      </c>
      <c r="H50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50" t="s">
        <v>163</v>
      </c>
      <c r="J50" t="str">
        <f t="shared" si="17"/>
        <v>Male</v>
      </c>
      <c r="L50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N50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50" t="s">
        <v>395</v>
      </c>
      <c r="P50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ama_eze@clinicmail.org</v>
      </c>
      <c r="Q50" t="s">
        <v>110</v>
      </c>
      <c r="R50" t="str">
        <f t="shared" si="18"/>
        <v>Kumasi</v>
      </c>
      <c r="S50" t="s">
        <v>92</v>
      </c>
      <c r="T50" s="8" t="str">
        <f>IF(S50="","",IF(ISNUMBER(S50),S50,IF(AND(LEN(S50)=10,MID(S50,5,1)="-"),IFERROR(DATE(VALUE(LEFT(S50,4)),VALUE(MID(S50,6,2)),VALUE(RIGHT(S50,2))),"Invalid Date"),IF(AND(LEN(S50)=10,MID(S50,3,1)="/"),IFERROR(DATE(VALUE(RIGHT(S50,4)),VALUE(MID(S50,4,2)),VALUE(LEFT(S50,2))),"Invalid Date"),IF(AND(LEN(S50)=10,MID(S50,5,1)="/"),"Invalid Date",IFERROR(DATE(VALUE(RIGHT(S50,4)),MATCH(LEFT(S50,3),{"Jan","Feb","Mar","Apr","May","Jun","Jul","Aug","Sep","Oct","Nov","Dec"},0),VALUE(MID(S50,5,FIND(",",S50)-5))),"Invalid Date"))))))</f>
        <v>Invalid Date</v>
      </c>
      <c r="U50" t="s">
        <v>144</v>
      </c>
      <c r="V50" t="str">
        <f t="shared" si="19"/>
        <v>Consultation</v>
      </c>
      <c r="W50" t="s">
        <v>155</v>
      </c>
      <c r="X50" t="str">
        <f t="shared" si="20"/>
        <v>Migraine</v>
      </c>
      <c r="Z50" t="str">
        <f t="shared" si="21"/>
        <v/>
      </c>
      <c r="AA50" t="str">
        <f t="shared" si="22"/>
        <v>Missing</v>
      </c>
      <c r="AB50" t="s">
        <v>305</v>
      </c>
      <c r="AC50" s="6">
        <f t="shared" si="7"/>
        <v>39.200000000000003</v>
      </c>
      <c r="AD50" s="6" t="str">
        <f t="shared" si="23"/>
        <v>Valid</v>
      </c>
      <c r="AE50" t="s">
        <v>396</v>
      </c>
      <c r="AF50">
        <f t="shared" si="24"/>
        <v>43.3</v>
      </c>
      <c r="AG50" t="str">
        <f t="shared" si="25"/>
        <v>Valid</v>
      </c>
      <c r="AH50" t="s">
        <v>51</v>
      </c>
      <c r="AI50" t="str">
        <f t="shared" si="26"/>
        <v>Private</v>
      </c>
      <c r="AJ50" s="5" t="s">
        <v>397</v>
      </c>
      <c r="AK50">
        <f>IF(TRIM(AJ50)="","",IF(LOWER(TRIM(AJ50))="one hundred",100,IFERROR(IF(VALUE(SUBSTITUTE(UPPER(TRIM(AJ50)),"GHS",""))&lt;0,"",VALUE(SUBSTITUTE(UPPER(TRIM(AJ50)),"GHS",""))),"")))</f>
        <v>31.79</v>
      </c>
      <c r="AL50" t="s">
        <v>397</v>
      </c>
      <c r="AM50">
        <f t="shared" si="27"/>
        <v>31.79</v>
      </c>
      <c r="AN50" t="s">
        <v>137</v>
      </c>
      <c r="AO50" t="str">
        <f t="shared" si="28"/>
        <v>Unpaid</v>
      </c>
      <c r="AP50">
        <f>IF(OR(MessyClinicPatients[[#This Row],[Clean Total Bill]]="",MessyClinicPatients[[#This Row],[Clean Amount Paid]]=""),"",MessyClinicPatients[[#This Row],[Clean Total Bill]]-MessyClinicPatients[[#This Row],[Clean Amount Paid]])</f>
        <v>0</v>
      </c>
      <c r="AQ50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50" t="s">
        <v>211</v>
      </c>
      <c r="AS50" t="str">
        <f t="shared" si="29"/>
        <v>Nurse Ama</v>
      </c>
      <c r="AT50" t="s">
        <v>97</v>
      </c>
      <c r="AU50" t="str">
        <f t="shared" si="30"/>
        <v>Patient Came Late</v>
      </c>
    </row>
    <row r="51" spans="1:47" ht="18" customHeight="1">
      <c r="A51" t="s">
        <v>398</v>
      </c>
      <c r="B51" t="str">
        <f t="shared" si="16"/>
        <v>P-0050</v>
      </c>
      <c r="C51" t="s">
        <v>212</v>
      </c>
      <c r="D51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Victoria</v>
      </c>
      <c r="E51" t="s">
        <v>242</v>
      </c>
      <c r="F51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Bello</v>
      </c>
      <c r="H51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51" t="s">
        <v>88</v>
      </c>
      <c r="J51" t="str">
        <f t="shared" si="17"/>
        <v>Female</v>
      </c>
      <c r="L51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51" t="s">
        <v>399</v>
      </c>
      <c r="N51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0241620485</v>
      </c>
      <c r="P51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51" t="s">
        <v>28</v>
      </c>
      <c r="R51" t="str">
        <f t="shared" si="18"/>
        <v>Ibadan</v>
      </c>
      <c r="S51" t="s">
        <v>92</v>
      </c>
      <c r="T51" s="8" t="str">
        <f>IF(S51="","",IF(ISNUMBER(S51),S51,IF(AND(LEN(S51)=10,MID(S51,5,1)="-"),IFERROR(DATE(VALUE(LEFT(S51,4)),VALUE(MID(S51,6,2)),VALUE(RIGHT(S51,2))),"Invalid Date"),IF(AND(LEN(S51)=10,MID(S51,3,1)="/"),IFERROR(DATE(VALUE(RIGHT(S51,4)),VALUE(MID(S51,4,2)),VALUE(LEFT(S51,2))),"Invalid Date"),IF(AND(LEN(S51)=10,MID(S51,5,1)="/"),"Invalid Date",IFERROR(DATE(VALUE(RIGHT(S51,4)),MATCH(LEFT(S51,3),{"Jan","Feb","Mar","Apr","May","Jun","Jul","Aug","Sep","Oct","Nov","Dec"},0),VALUE(MID(S51,5,FIND(",",S51)-5))),"Invalid Date"))))))</f>
        <v>Invalid Date</v>
      </c>
      <c r="U51" t="s">
        <v>111</v>
      </c>
      <c r="V51" t="str">
        <f t="shared" si="19"/>
        <v>Follow-up</v>
      </c>
      <c r="W51" t="s">
        <v>167</v>
      </c>
      <c r="X51" t="str">
        <f t="shared" si="20"/>
        <v>Pregnancy</v>
      </c>
      <c r="Y51" t="s">
        <v>145</v>
      </c>
      <c r="Z51" t="str">
        <f t="shared" si="21"/>
        <v>120/80</v>
      </c>
      <c r="AA51" t="str">
        <f t="shared" si="22"/>
        <v>Valid</v>
      </c>
      <c r="AB51" t="s">
        <v>400</v>
      </c>
      <c r="AC51" s="6">
        <f t="shared" si="7"/>
        <v>36.700000000000003</v>
      </c>
      <c r="AD51" s="6" t="str">
        <f t="shared" si="23"/>
        <v>Valid</v>
      </c>
      <c r="AE51" t="s">
        <v>80</v>
      </c>
      <c r="AF51">
        <f t="shared" si="24"/>
        <v>80</v>
      </c>
      <c r="AG51" t="str">
        <f t="shared" si="25"/>
        <v>Valid</v>
      </c>
      <c r="AH51" t="s">
        <v>176</v>
      </c>
      <c r="AI51" t="str">
        <f t="shared" si="26"/>
        <v/>
      </c>
      <c r="AK51" t="str">
        <f>IF(TRIM(AJ51)="","",IF(LOWER(TRIM(AJ51))="one hundred",100,IFERROR(IF(VALUE(SUBSTITUTE(UPPER(TRIM(AJ51)),"GHS",""))&lt;0,"",VALUE(SUBSTITUTE(UPPER(TRIM(AJ51)),"GHS",""))),"")))</f>
        <v/>
      </c>
      <c r="AL51" t="s">
        <v>401</v>
      </c>
      <c r="AM51">
        <f t="shared" si="27"/>
        <v>450</v>
      </c>
      <c r="AN51" t="s">
        <v>147</v>
      </c>
      <c r="AO51" t="str">
        <f t="shared" si="28"/>
        <v>Paid</v>
      </c>
      <c r="AP51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51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51" t="s">
        <v>69</v>
      </c>
      <c r="AS51" t="str">
        <f t="shared" si="29"/>
        <v>Dr. Mensah</v>
      </c>
      <c r="AT51" t="s">
        <v>171</v>
      </c>
      <c r="AU51" t="str">
        <f t="shared" si="30"/>
        <v>Allergy: Penicillin</v>
      </c>
    </row>
    <row r="52" spans="1:47" ht="18" customHeight="1">
      <c r="B52" t="str">
        <f t="shared" si="16"/>
        <v/>
      </c>
      <c r="C52" t="s">
        <v>173</v>
      </c>
      <c r="D52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Chinedu</v>
      </c>
      <c r="E52" t="s">
        <v>242</v>
      </c>
      <c r="F52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Bello</v>
      </c>
      <c r="G52" t="s">
        <v>24</v>
      </c>
      <c r="H52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52" t="s">
        <v>25</v>
      </c>
      <c r="J52" t="str">
        <f t="shared" si="17"/>
        <v>Other</v>
      </c>
      <c r="L52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N52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P52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52" t="s">
        <v>46</v>
      </c>
      <c r="R52" t="str">
        <f t="shared" si="18"/>
        <v>Tema</v>
      </c>
      <c r="S52" t="s">
        <v>402</v>
      </c>
      <c r="T52" s="8">
        <f>IF(S52="","",IF(ISNUMBER(S52),S52,IF(AND(LEN(S52)=10,MID(S52,5,1)="-"),IFERROR(DATE(VALUE(LEFT(S52,4)),VALUE(MID(S52,6,2)),VALUE(RIGHT(S52,2))),"Invalid Date"),IF(AND(LEN(S52)=10,MID(S52,3,1)="/"),IFERROR(DATE(VALUE(RIGHT(S52,4)),VALUE(MID(S52,4,2)),VALUE(LEFT(S52,2))),"Invalid Date"),IF(AND(LEN(S52)=10,MID(S52,5,1)="/"),"Invalid Date",IFERROR(DATE(VALUE(RIGHT(S52,4)),MATCH(LEFT(S52,3),{"Jan","Feb","Mar","Apr","May","Jun","Jul","Aug","Sep","Oct","Nov","Dec"},0),VALUE(MID(S52,5,FIND(",",S52)-5))),"Invalid Date"))))))</f>
        <v>46049</v>
      </c>
      <c r="U52" t="s">
        <v>144</v>
      </c>
      <c r="V52" t="str">
        <f t="shared" si="19"/>
        <v>Consultation</v>
      </c>
      <c r="W52" t="s">
        <v>103</v>
      </c>
      <c r="X52" t="str">
        <f t="shared" si="20"/>
        <v>Diabetes</v>
      </c>
      <c r="Y52" t="s">
        <v>145</v>
      </c>
      <c r="Z52" t="str">
        <f t="shared" si="21"/>
        <v>120/80</v>
      </c>
      <c r="AA52" t="str">
        <f t="shared" si="22"/>
        <v>Valid</v>
      </c>
      <c r="AB52" t="s">
        <v>403</v>
      </c>
      <c r="AC52" s="6">
        <f t="shared" si="7"/>
        <v>38.9</v>
      </c>
      <c r="AD52" s="6" t="str">
        <f t="shared" si="23"/>
        <v>Valid</v>
      </c>
      <c r="AE52" t="s">
        <v>80</v>
      </c>
      <c r="AF52">
        <f t="shared" si="24"/>
        <v>80</v>
      </c>
      <c r="AG52" t="str">
        <f t="shared" si="25"/>
        <v>Valid</v>
      </c>
      <c r="AI52" t="str">
        <f t="shared" si="26"/>
        <v/>
      </c>
      <c r="AJ52" s="5" t="s">
        <v>404</v>
      </c>
      <c r="AK52">
        <f>IF(TRIM(AJ52)="","",IF(LOWER(TRIM(AJ52))="one hundred",100,IFERROR(IF(VALUE(SUBSTITUTE(UPPER(TRIM(AJ52)),"GHS",""))&lt;0,"",VALUE(SUBSTITUTE(UPPER(TRIM(AJ52)),"GHS",""))),"")))</f>
        <v>210.19</v>
      </c>
      <c r="AM52" t="str">
        <f t="shared" si="27"/>
        <v/>
      </c>
      <c r="AN52" t="s">
        <v>117</v>
      </c>
      <c r="AO52" t="str">
        <f t="shared" si="28"/>
        <v>Refunded</v>
      </c>
      <c r="AP52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52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Refunded</v>
      </c>
      <c r="AR52" t="s">
        <v>96</v>
      </c>
      <c r="AS52" t="str">
        <f t="shared" si="29"/>
        <v>Nurse Amina</v>
      </c>
      <c r="AT52" t="s">
        <v>97</v>
      </c>
      <c r="AU52" t="str">
        <f t="shared" si="30"/>
        <v>Patient Came Late</v>
      </c>
    </row>
    <row r="53" spans="1:47" ht="18" customHeight="1">
      <c r="A53" t="s">
        <v>405</v>
      </c>
      <c r="B53" t="str">
        <f t="shared" si="16"/>
        <v>P-0052</v>
      </c>
      <c r="C53" t="s">
        <v>218</v>
      </c>
      <c r="D53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Ama</v>
      </c>
      <c r="E53" t="s">
        <v>72</v>
      </c>
      <c r="F53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Owusu</v>
      </c>
      <c r="G53" s="9">
        <v>-3</v>
      </c>
      <c r="H53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53" t="s">
        <v>88</v>
      </c>
      <c r="J53" t="str">
        <f t="shared" si="17"/>
        <v>Female</v>
      </c>
      <c r="L53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53" t="s">
        <v>406</v>
      </c>
      <c r="N53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9977607001</v>
      </c>
      <c r="O53" t="s">
        <v>407</v>
      </c>
      <c r="P53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ama_owusu@clinicmail.org</v>
      </c>
      <c r="Q53" t="s">
        <v>101</v>
      </c>
      <c r="R53" t="str">
        <f t="shared" si="18"/>
        <v>Accra</v>
      </c>
      <c r="S53" t="s">
        <v>92</v>
      </c>
      <c r="T53" s="8" t="str">
        <f>IF(S53="","",IF(ISNUMBER(S53),S53,IF(AND(LEN(S53)=10,MID(S53,5,1)="-"),IFERROR(DATE(VALUE(LEFT(S53,4)),VALUE(MID(S53,6,2)),VALUE(RIGHT(S53,2))),"Invalid Date"),IF(AND(LEN(S53)=10,MID(S53,3,1)="/"),IFERROR(DATE(VALUE(RIGHT(S53,4)),VALUE(MID(S53,4,2)),VALUE(LEFT(S53,2))),"Invalid Date"),IF(AND(LEN(S53)=10,MID(S53,5,1)="/"),"Invalid Date",IFERROR(DATE(VALUE(RIGHT(S53,4)),MATCH(LEFT(S53,3),{"Jan","Feb","Mar","Apr","May","Jun","Jul","Aug","Sep","Oct","Nov","Dec"},0),VALUE(MID(S53,5,FIND(",",S53)-5))),"Invalid Date"))))))</f>
        <v>Invalid Date</v>
      </c>
      <c r="U53" t="s">
        <v>77</v>
      </c>
      <c r="V53" t="str">
        <f t="shared" si="19"/>
        <v>Emergency</v>
      </c>
      <c r="W53" t="s">
        <v>78</v>
      </c>
      <c r="X53" t="str">
        <f t="shared" si="20"/>
        <v>Back Pain</v>
      </c>
      <c r="Y53" t="s">
        <v>408</v>
      </c>
      <c r="Z53" t="str">
        <f t="shared" si="21"/>
        <v>142/88</v>
      </c>
      <c r="AA53" t="str">
        <f t="shared" si="22"/>
        <v>Valid</v>
      </c>
      <c r="AB53" t="s">
        <v>409</v>
      </c>
      <c r="AC53" s="6">
        <f t="shared" si="7"/>
        <v>37.666666666666664</v>
      </c>
      <c r="AD53" s="6" t="str">
        <f t="shared" si="23"/>
        <v>Fahrenheit Converted</v>
      </c>
      <c r="AE53" t="s">
        <v>80</v>
      </c>
      <c r="AF53">
        <f t="shared" si="24"/>
        <v>80</v>
      </c>
      <c r="AG53" t="str">
        <f t="shared" si="25"/>
        <v>Valid</v>
      </c>
      <c r="AI53" t="str">
        <f t="shared" si="26"/>
        <v/>
      </c>
      <c r="AJ53" s="5" t="s">
        <v>410</v>
      </c>
      <c r="AK53">
        <f>IF(TRIM(AJ53)="","",IF(LOWER(TRIM(AJ53))="one hundred",100,IFERROR(IF(VALUE(SUBSTITUTE(UPPER(TRIM(AJ53)),"GHS",""))&lt;0,"",VALUE(SUBSTITUTE(UPPER(TRIM(AJ53)),"GHS",""))),"")))</f>
        <v>108.99</v>
      </c>
      <c r="AL53" t="s">
        <v>53</v>
      </c>
      <c r="AM53">
        <f t="shared" si="27"/>
        <v>0</v>
      </c>
      <c r="AN53" t="s">
        <v>147</v>
      </c>
      <c r="AO53" t="str">
        <f t="shared" si="28"/>
        <v>Paid</v>
      </c>
      <c r="AP53">
        <f>IF(OR(MessyClinicPatients[[#This Row],[Clean Total Bill]]="",MessyClinicPatients[[#This Row],[Clean Amount Paid]]=""),"",MessyClinicPatients[[#This Row],[Clean Total Bill]]-MessyClinicPatients[[#This Row],[Clean Amount Paid]])</f>
        <v>108.99</v>
      </c>
      <c r="AQ53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R53" t="s">
        <v>83</v>
      </c>
      <c r="AS53" t="str">
        <f t="shared" si="29"/>
        <v>Dr. Patel</v>
      </c>
      <c r="AT53" t="s">
        <v>40</v>
      </c>
      <c r="AU53" t="str">
        <f t="shared" si="30"/>
        <v>Needs Follow-Up</v>
      </c>
    </row>
    <row r="54" spans="1:47" ht="18" customHeight="1">
      <c r="B54" t="str">
        <f t="shared" si="16"/>
        <v/>
      </c>
      <c r="C54" t="s">
        <v>390</v>
      </c>
      <c r="D54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Nana</v>
      </c>
      <c r="E54" t="s">
        <v>57</v>
      </c>
      <c r="F54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Ali</v>
      </c>
      <c r="H54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54" t="s">
        <v>88</v>
      </c>
      <c r="J54" t="str">
        <f t="shared" si="17"/>
        <v>Female</v>
      </c>
      <c r="L54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54" t="s">
        <v>176</v>
      </c>
      <c r="N54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54" t="s">
        <v>27</v>
      </c>
      <c r="P54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54" t="s">
        <v>222</v>
      </c>
      <c r="R54" t="str">
        <f t="shared" si="18"/>
        <v>Abuja</v>
      </c>
      <c r="S54" t="s">
        <v>411</v>
      </c>
      <c r="T54" s="8">
        <f>IF(S54="","",IF(ISNUMBER(S54),S54,IF(AND(LEN(S54)=10,MID(S54,5,1)="-"),IFERROR(DATE(VALUE(LEFT(S54,4)),VALUE(MID(S54,6,2)),VALUE(RIGHT(S54,2))),"Invalid Date"),IF(AND(LEN(S54)=10,MID(S54,3,1)="/"),IFERROR(DATE(VALUE(RIGHT(S54,4)),VALUE(MID(S54,4,2)),VALUE(LEFT(S54,2))),"Invalid Date"),IF(AND(LEN(S54)=10,MID(S54,5,1)="/"),"Invalid Date",IFERROR(DATE(VALUE(RIGHT(S54,4)),MATCH(LEFT(S54,3),{"Jan","Feb","Mar","Apr","May","Jun","Jul","Aug","Sep","Oct","Nov","Dec"},0),VALUE(MID(S54,5,FIND(",",S54)-5))),"Invalid Date"))))))</f>
        <v>46045</v>
      </c>
      <c r="U54" t="s">
        <v>77</v>
      </c>
      <c r="V54" t="str">
        <f t="shared" si="19"/>
        <v>Emergency</v>
      </c>
      <c r="W54" t="s">
        <v>412</v>
      </c>
      <c r="X54" t="str">
        <f t="shared" si="20"/>
        <v>Asthma</v>
      </c>
      <c r="Z54" t="str">
        <f t="shared" si="21"/>
        <v/>
      </c>
      <c r="AA54" t="str">
        <f t="shared" si="22"/>
        <v>Missing</v>
      </c>
      <c r="AC54" s="6" t="str">
        <f t="shared" si="7"/>
        <v/>
      </c>
      <c r="AD54" s="6" t="str">
        <f t="shared" si="23"/>
        <v>Missing</v>
      </c>
      <c r="AE54" t="s">
        <v>204</v>
      </c>
      <c r="AF54" t="str">
        <f t="shared" si="24"/>
        <v/>
      </c>
      <c r="AG54" t="str">
        <f t="shared" si="25"/>
        <v>Missing</v>
      </c>
      <c r="AH54" t="s">
        <v>176</v>
      </c>
      <c r="AI54" t="str">
        <f t="shared" si="26"/>
        <v/>
      </c>
      <c r="AJ54" s="5" t="s">
        <v>413</v>
      </c>
      <c r="AK54">
        <f>IF(TRIM(AJ54)="","",IF(LOWER(TRIM(AJ54))="one hundred",100,IFERROR(IF(VALUE(SUBSTITUTE(UPPER(TRIM(AJ54)),"GHS",""))&lt;0,"",VALUE(SUBSTITUTE(UPPER(TRIM(AJ54)),"GHS",""))),"")))</f>
        <v>407.35</v>
      </c>
      <c r="AL54" t="s">
        <v>37</v>
      </c>
      <c r="AM54">
        <f t="shared" si="27"/>
        <v>100</v>
      </c>
      <c r="AN54" t="s">
        <v>95</v>
      </c>
      <c r="AO54" t="str">
        <f t="shared" si="28"/>
        <v>Pending</v>
      </c>
      <c r="AP54">
        <f>IF(OR(MessyClinicPatients[[#This Row],[Clean Total Bill]]="",MessyClinicPatients[[#This Row],[Clean Amount Paid]]=""),"",MessyClinicPatients[[#This Row],[Clean Total Bill]]-MessyClinicPatients[[#This Row],[Clean Amount Paid]])</f>
        <v>307.35000000000002</v>
      </c>
      <c r="AQ54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54" t="s">
        <v>69</v>
      </c>
      <c r="AS54" t="str">
        <f t="shared" si="29"/>
        <v>Dr. Mensah</v>
      </c>
      <c r="AT54" t="s">
        <v>40</v>
      </c>
      <c r="AU54" t="str">
        <f t="shared" si="30"/>
        <v>Needs Follow-Up</v>
      </c>
    </row>
    <row r="55" spans="1:47" ht="18" customHeight="1">
      <c r="A55" t="s">
        <v>414</v>
      </c>
      <c r="B55" t="str">
        <f t="shared" si="16"/>
        <v>P-0054</v>
      </c>
      <c r="C55" t="s">
        <v>119</v>
      </c>
      <c r="D55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Peter</v>
      </c>
      <c r="E55" t="s">
        <v>120</v>
      </c>
      <c r="F55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Taylor</v>
      </c>
      <c r="G55" s="9">
        <v>130</v>
      </c>
      <c r="H55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55" t="s">
        <v>59</v>
      </c>
      <c r="J55" t="str">
        <f t="shared" si="17"/>
        <v>Female</v>
      </c>
      <c r="L55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N55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55" t="s">
        <v>27</v>
      </c>
      <c r="P55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55" t="s">
        <v>101</v>
      </c>
      <c r="R55" t="str">
        <f t="shared" si="18"/>
        <v>Accra</v>
      </c>
      <c r="S55" t="s">
        <v>415</v>
      </c>
      <c r="T55" s="8">
        <f>IF(S55="","",IF(ISNUMBER(S55),S55,IF(AND(LEN(S55)=10,MID(S55,5,1)="-"),IFERROR(DATE(VALUE(LEFT(S55,4)),VALUE(MID(S55,6,2)),VALUE(RIGHT(S55,2))),"Invalid Date"),IF(AND(LEN(S55)=10,MID(S55,3,1)="/"),IFERROR(DATE(VALUE(RIGHT(S55,4)),VALUE(MID(S55,4,2)),VALUE(LEFT(S55,2))),"Invalid Date"),IF(AND(LEN(S55)=10,MID(S55,5,1)="/"),"Invalid Date",IFERROR(DATE(VALUE(RIGHT(S55,4)),MATCH(LEFT(S55,3),{"Jan","Feb","Mar","Apr","May","Jun","Jul","Aug","Sep","Oct","Nov","Dec"},0),VALUE(MID(S55,5,FIND(",",S55)-5))),"Invalid Date"))))))</f>
        <v>46170</v>
      </c>
      <c r="U55" t="s">
        <v>134</v>
      </c>
      <c r="V55" t="str">
        <f t="shared" si="19"/>
        <v>Follow-up</v>
      </c>
      <c r="W55" t="s">
        <v>195</v>
      </c>
      <c r="X55" t="str">
        <f t="shared" si="20"/>
        <v>Skin Rash</v>
      </c>
      <c r="Y55" t="s">
        <v>416</v>
      </c>
      <c r="Z55" t="str">
        <f t="shared" si="21"/>
        <v/>
      </c>
      <c r="AA55" t="str">
        <f t="shared" si="22"/>
        <v>Missing</v>
      </c>
      <c r="AC55" s="6" t="str">
        <f t="shared" si="7"/>
        <v/>
      </c>
      <c r="AD55" s="6" t="str">
        <f t="shared" si="23"/>
        <v>Missing</v>
      </c>
      <c r="AF55" t="str">
        <f t="shared" si="24"/>
        <v/>
      </c>
      <c r="AG55" t="str">
        <f t="shared" si="25"/>
        <v>Missing</v>
      </c>
      <c r="AH55" t="s">
        <v>49</v>
      </c>
      <c r="AI55" t="str">
        <f t="shared" si="26"/>
        <v>None</v>
      </c>
      <c r="AJ55" s="5" t="s">
        <v>417</v>
      </c>
      <c r="AK55">
        <f>IF(TRIM(AJ55)="","",IF(LOWER(TRIM(AJ55))="one hundred",100,IFERROR(IF(VALUE(SUBSTITUTE(UPPER(TRIM(AJ55)),"GHS",""))&lt;0,"",VALUE(SUBSTITUTE(UPPER(TRIM(AJ55)),"GHS",""))),"")))</f>
        <v>92.69</v>
      </c>
      <c r="AL55" t="s">
        <v>417</v>
      </c>
      <c r="AM55">
        <f t="shared" si="27"/>
        <v>92.69</v>
      </c>
      <c r="AN55" t="s">
        <v>137</v>
      </c>
      <c r="AO55" t="str">
        <f t="shared" si="28"/>
        <v>Unpaid</v>
      </c>
      <c r="AP55">
        <f>IF(OR(MessyClinicPatients[[#This Row],[Clean Total Bill]]="",MessyClinicPatients[[#This Row],[Clean Amount Paid]]=""),"",MessyClinicPatients[[#This Row],[Clean Total Bill]]-MessyClinicPatients[[#This Row],[Clean Amount Paid]])</f>
        <v>0</v>
      </c>
      <c r="AQ55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55" t="s">
        <v>69</v>
      </c>
      <c r="AS55" t="str">
        <f t="shared" si="29"/>
        <v>Dr. Mensah</v>
      </c>
      <c r="AT55" t="s">
        <v>274</v>
      </c>
      <c r="AU55" t="str">
        <f t="shared" si="30"/>
        <v>Repeated Record?</v>
      </c>
    </row>
    <row r="56" spans="1:47" ht="18" customHeight="1">
      <c r="B56" t="str">
        <f t="shared" si="16"/>
        <v/>
      </c>
      <c r="C56" t="s">
        <v>161</v>
      </c>
      <c r="D56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Emeka</v>
      </c>
      <c r="E56" t="s">
        <v>374</v>
      </c>
      <c r="F56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Adams</v>
      </c>
      <c r="G56" t="s">
        <v>24</v>
      </c>
      <c r="H56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56" t="s">
        <v>234</v>
      </c>
      <c r="J56" t="str">
        <f t="shared" si="17"/>
        <v>Male</v>
      </c>
      <c r="L56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56" t="s">
        <v>418</v>
      </c>
      <c r="N56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0245204459</v>
      </c>
      <c r="P56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R56" t="str">
        <f t="shared" si="18"/>
        <v/>
      </c>
      <c r="S56" t="s">
        <v>92</v>
      </c>
      <c r="T56" s="8" t="str">
        <f>IF(S56="","",IF(ISNUMBER(S56),S56,IF(AND(LEN(S56)=10,MID(S56,5,1)="-"),IFERROR(DATE(VALUE(LEFT(S56,4)),VALUE(MID(S56,6,2)),VALUE(RIGHT(S56,2))),"Invalid Date"),IF(AND(LEN(S56)=10,MID(S56,3,1)="/"),IFERROR(DATE(VALUE(RIGHT(S56,4)),VALUE(MID(S56,4,2)),VALUE(LEFT(S56,2))),"Invalid Date"),IF(AND(LEN(S56)=10,MID(S56,5,1)="/"),"Invalid Date",IFERROR(DATE(VALUE(RIGHT(S56,4)),MATCH(LEFT(S56,3),{"Jan","Feb","Mar","Apr","May","Jun","Jul","Aug","Sep","Oct","Nov","Dec"},0),VALUE(MID(S56,5,FIND(",",S56)-5))),"Invalid Date"))))))</f>
        <v>Invalid Date</v>
      </c>
      <c r="U56" t="s">
        <v>30</v>
      </c>
      <c r="V56" t="str">
        <f t="shared" si="19"/>
        <v>Vaccination</v>
      </c>
      <c r="W56" t="s">
        <v>49</v>
      </c>
      <c r="X56" t="str">
        <f t="shared" si="20"/>
        <v>None</v>
      </c>
      <c r="Y56" t="s">
        <v>419</v>
      </c>
      <c r="Z56" t="str">
        <f t="shared" si="21"/>
        <v/>
      </c>
      <c r="AA56" t="str">
        <f t="shared" si="22"/>
        <v>Missing</v>
      </c>
      <c r="AB56" t="s">
        <v>420</v>
      </c>
      <c r="AC56" s="6">
        <f t="shared" si="7"/>
        <v>39</v>
      </c>
      <c r="AD56" s="6" t="str">
        <f t="shared" si="23"/>
        <v>Valid</v>
      </c>
      <c r="AE56" t="s">
        <v>421</v>
      </c>
      <c r="AF56">
        <f t="shared" si="24"/>
        <v>99.6</v>
      </c>
      <c r="AG56" t="str">
        <f t="shared" si="25"/>
        <v>Valid</v>
      </c>
      <c r="AH56" t="s">
        <v>35</v>
      </c>
      <c r="AI56" t="str">
        <f t="shared" si="26"/>
        <v>Corporate</v>
      </c>
      <c r="AJ56" s="5" t="s">
        <v>422</v>
      </c>
      <c r="AK56">
        <f>IF(TRIM(AJ56)="","",IF(LOWER(TRIM(AJ56))="one hundred",100,IFERROR(IF(VALUE(SUBSTITUTE(UPPER(TRIM(AJ56)),"GHS",""))&lt;0,"",VALUE(SUBSTITUTE(UPPER(TRIM(AJ56)),"GHS",""))),"")))</f>
        <v>74.19</v>
      </c>
      <c r="AL56" t="s">
        <v>37</v>
      </c>
      <c r="AM56">
        <f t="shared" si="27"/>
        <v>100</v>
      </c>
      <c r="AN56" t="s">
        <v>68</v>
      </c>
      <c r="AO56" t="str">
        <f t="shared" si="28"/>
        <v>Paid</v>
      </c>
      <c r="AP56">
        <f>IF(OR(MessyClinicPatients[[#This Row],[Clean Total Bill]]="",MessyClinicPatients[[#This Row],[Clean Amount Paid]]=""),"",MessyClinicPatients[[#This Row],[Clean Total Bill]]-MessyClinicPatients[[#This Row],[Clean Amount Paid]])</f>
        <v>-25.810000000000002</v>
      </c>
      <c r="AQ56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56" t="s">
        <v>148</v>
      </c>
      <c r="AS56" t="str">
        <f t="shared" si="29"/>
        <v>Dr. Mensah</v>
      </c>
      <c r="AU56" t="str">
        <f t="shared" si="30"/>
        <v/>
      </c>
    </row>
    <row r="57" spans="1:47" ht="18" customHeight="1">
      <c r="A57" t="s">
        <v>423</v>
      </c>
      <c r="B57" t="str">
        <f t="shared" si="16"/>
        <v>P-0056</v>
      </c>
      <c r="C57" t="s">
        <v>424</v>
      </c>
      <c r="D57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Esther</v>
      </c>
      <c r="E57" t="s">
        <v>269</v>
      </c>
      <c r="F57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Kamara</v>
      </c>
      <c r="G57" t="s">
        <v>24</v>
      </c>
      <c r="H57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57" t="s">
        <v>59</v>
      </c>
      <c r="J57" t="str">
        <f t="shared" si="17"/>
        <v>Female</v>
      </c>
      <c r="L57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57" t="s">
        <v>61</v>
      </c>
      <c r="N57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Invalid Phone</v>
      </c>
      <c r="O57" t="s">
        <v>425</v>
      </c>
      <c r="P57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Q57" t="s">
        <v>91</v>
      </c>
      <c r="R57" t="str">
        <f t="shared" si="18"/>
        <v>Lagos</v>
      </c>
      <c r="T57" s="8" t="str">
        <f>IF(S57="","",IF(ISNUMBER(S57),S57,IF(AND(LEN(S57)=10,MID(S57,5,1)="-"),IFERROR(DATE(VALUE(LEFT(S57,4)),VALUE(MID(S57,6,2)),VALUE(RIGHT(S57,2))),"Invalid Date"),IF(AND(LEN(S57)=10,MID(S57,3,1)="/"),IFERROR(DATE(VALUE(RIGHT(S57,4)),VALUE(MID(S57,4,2)),VALUE(LEFT(S57,2))),"Invalid Date"),IF(AND(LEN(S57)=10,MID(S57,5,1)="/"),"Invalid Date",IFERROR(DATE(VALUE(RIGHT(S57,4)),MATCH(LEFT(S57,3),{"Jan","Feb","Mar","Apr","May","Jun","Jul","Aug","Sep","Oct","Nov","Dec"},0),VALUE(MID(S57,5,FIND(",",S57)-5))),"Invalid Date"))))))</f>
        <v/>
      </c>
      <c r="U57" t="s">
        <v>102</v>
      </c>
      <c r="V57" t="str">
        <f t="shared" si="19"/>
        <v>Consultation</v>
      </c>
      <c r="W57" t="s">
        <v>412</v>
      </c>
      <c r="X57" t="str">
        <f t="shared" si="20"/>
        <v>Asthma</v>
      </c>
      <c r="Z57" t="str">
        <f t="shared" si="21"/>
        <v/>
      </c>
      <c r="AA57" t="str">
        <f t="shared" si="22"/>
        <v>Missing</v>
      </c>
      <c r="AB57" t="s">
        <v>426</v>
      </c>
      <c r="AC57" s="6">
        <f t="shared" si="7"/>
        <v>39.277777777777779</v>
      </c>
      <c r="AD57" s="6" t="str">
        <f t="shared" si="23"/>
        <v>Fahrenheit Converted</v>
      </c>
      <c r="AE57" t="s">
        <v>80</v>
      </c>
      <c r="AF57">
        <f t="shared" si="24"/>
        <v>80</v>
      </c>
      <c r="AG57" t="str">
        <f t="shared" si="25"/>
        <v>Valid</v>
      </c>
      <c r="AH57" t="s">
        <v>176</v>
      </c>
      <c r="AI57" t="str">
        <f t="shared" si="26"/>
        <v/>
      </c>
      <c r="AJ57" s="5" t="s">
        <v>427</v>
      </c>
      <c r="AK57">
        <f>IF(TRIM(AJ57)="","",IF(LOWER(TRIM(AJ57))="one hundred",100,IFERROR(IF(VALUE(SUBSTITUTE(UPPER(TRIM(AJ57)),"GHS",""))&lt;0,"",VALUE(SUBSTITUTE(UPPER(TRIM(AJ57)),"GHS",""))),"")))</f>
        <v>300.87</v>
      </c>
      <c r="AL57" t="s">
        <v>37</v>
      </c>
      <c r="AM57">
        <f t="shared" si="27"/>
        <v>100</v>
      </c>
      <c r="AN57" t="s">
        <v>68</v>
      </c>
      <c r="AO57" t="str">
        <f t="shared" si="28"/>
        <v>Paid</v>
      </c>
      <c r="AP57">
        <f>IF(OR(MessyClinicPatients[[#This Row],[Clean Total Bill]]="",MessyClinicPatients[[#This Row],[Clean Amount Paid]]=""),"",MessyClinicPatients[[#This Row],[Clean Total Bill]]-MessyClinicPatients[[#This Row],[Clean Amount Paid]])</f>
        <v>200.87</v>
      </c>
      <c r="AQ57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57" t="s">
        <v>54</v>
      </c>
      <c r="AS57" t="str">
        <f t="shared" si="29"/>
        <v>Dr. Lee</v>
      </c>
      <c r="AT57" t="s">
        <v>97</v>
      </c>
      <c r="AU57" t="str">
        <f t="shared" si="30"/>
        <v>Patient Came Late</v>
      </c>
    </row>
    <row r="58" spans="1:47" ht="18" customHeight="1">
      <c r="A58" t="s">
        <v>428</v>
      </c>
      <c r="B58" t="str">
        <f t="shared" si="16"/>
        <v>P-1057</v>
      </c>
      <c r="C58" t="s">
        <v>99</v>
      </c>
      <c r="D58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Fatima</v>
      </c>
      <c r="E58" t="s">
        <v>23</v>
      </c>
      <c r="F58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Adebayo</v>
      </c>
      <c r="G58" t="s">
        <v>24</v>
      </c>
      <c r="H58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58" t="s">
        <v>234</v>
      </c>
      <c r="J58" t="str">
        <f t="shared" si="17"/>
        <v>Male</v>
      </c>
      <c r="L58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N58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P58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58" t="s">
        <v>46</v>
      </c>
      <c r="R58" t="str">
        <f t="shared" si="18"/>
        <v>Tema</v>
      </c>
      <c r="S58" t="s">
        <v>429</v>
      </c>
      <c r="T58" s="8">
        <f>IF(S58="","",IF(ISNUMBER(S58),S58,IF(AND(LEN(S58)=10,MID(S58,5,1)="-"),IFERROR(DATE(VALUE(LEFT(S58,4)),VALUE(MID(S58,6,2)),VALUE(RIGHT(S58,2))),"Invalid Date"),IF(AND(LEN(S58)=10,MID(S58,3,1)="/"),IFERROR(DATE(VALUE(RIGHT(S58,4)),VALUE(MID(S58,4,2)),VALUE(LEFT(S58,2))),"Invalid Date"),IF(AND(LEN(S58)=10,MID(S58,5,1)="/"),"Invalid Date",IFERROR(DATE(VALUE(RIGHT(S58,4)),MATCH(LEFT(S58,3),{"Jan","Feb","Mar","Apr","May","Jun","Jul","Aug","Sep","Oct","Nov","Dec"},0),VALUE(MID(S58,5,FIND(",",S58)-5))),"Invalid Date"))))))</f>
        <v>46071</v>
      </c>
      <c r="U58" t="s">
        <v>48</v>
      </c>
      <c r="V58" t="str">
        <f t="shared" si="19"/>
        <v>Routine Checkup</v>
      </c>
      <c r="W58" t="s">
        <v>297</v>
      </c>
      <c r="X58" t="str">
        <f t="shared" si="20"/>
        <v>COVID-19</v>
      </c>
      <c r="Y58" t="s">
        <v>430</v>
      </c>
      <c r="Z58" t="str">
        <f t="shared" si="21"/>
        <v>134/91</v>
      </c>
      <c r="AA58" t="str">
        <f t="shared" si="22"/>
        <v>Valid</v>
      </c>
      <c r="AC58" s="6" t="str">
        <f t="shared" si="7"/>
        <v/>
      </c>
      <c r="AD58" s="6" t="str">
        <f t="shared" si="23"/>
        <v>Missing</v>
      </c>
      <c r="AE58" t="s">
        <v>80</v>
      </c>
      <c r="AF58">
        <f t="shared" si="24"/>
        <v>80</v>
      </c>
      <c r="AG58" t="str">
        <f t="shared" si="25"/>
        <v>Valid</v>
      </c>
      <c r="AH58" t="s">
        <v>176</v>
      </c>
      <c r="AI58" t="str">
        <f t="shared" si="26"/>
        <v/>
      </c>
      <c r="AJ58" s="5" t="s">
        <v>431</v>
      </c>
      <c r="AK58">
        <f>IF(TRIM(AJ58)="","",IF(LOWER(TRIM(AJ58))="one hundred",100,IFERROR(IF(VALUE(SUBSTITUTE(UPPER(TRIM(AJ58)),"GHS",""))&lt;0,"",VALUE(SUBSTITUTE(UPPER(TRIM(AJ58)),"GHS",""))),"")))</f>
        <v>308.99</v>
      </c>
      <c r="AM58" t="str">
        <f t="shared" si="27"/>
        <v/>
      </c>
      <c r="AN58" t="s">
        <v>147</v>
      </c>
      <c r="AO58" t="str">
        <f t="shared" si="28"/>
        <v>Paid</v>
      </c>
      <c r="AP58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58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58" t="s">
        <v>39</v>
      </c>
      <c r="AS58" t="str">
        <f t="shared" si="29"/>
        <v>Dr. Okoro</v>
      </c>
      <c r="AU58" t="str">
        <f t="shared" si="30"/>
        <v/>
      </c>
    </row>
    <row r="59" spans="1:47" ht="18" customHeight="1">
      <c r="A59" t="s">
        <v>432</v>
      </c>
      <c r="B59" t="str">
        <f t="shared" si="16"/>
        <v>P-1058</v>
      </c>
      <c r="C59" t="s">
        <v>259</v>
      </c>
      <c r="D59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Sarah</v>
      </c>
      <c r="E59" t="s">
        <v>72</v>
      </c>
      <c r="F59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Owusu</v>
      </c>
      <c r="G59" t="s">
        <v>24</v>
      </c>
      <c r="H59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59" t="s">
        <v>163</v>
      </c>
      <c r="J59" t="str">
        <f t="shared" si="17"/>
        <v>Male</v>
      </c>
      <c r="L59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59" t="s">
        <v>433</v>
      </c>
      <c r="N59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2526834189</v>
      </c>
      <c r="P59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59" t="s">
        <v>110</v>
      </c>
      <c r="R59" t="str">
        <f t="shared" si="18"/>
        <v>Kumasi</v>
      </c>
      <c r="T59" s="8" t="str">
        <f>IF(S59="","",IF(ISNUMBER(S59),S59,IF(AND(LEN(S59)=10,MID(S59,5,1)="-"),IFERROR(DATE(VALUE(LEFT(S59,4)),VALUE(MID(S59,6,2)),VALUE(RIGHT(S59,2))),"Invalid Date"),IF(AND(LEN(S59)=10,MID(S59,3,1)="/"),IFERROR(DATE(VALUE(RIGHT(S59,4)),VALUE(MID(S59,4,2)),VALUE(LEFT(S59,2))),"Invalid Date"),IF(AND(LEN(S59)=10,MID(S59,5,1)="/"),"Invalid Date",IFERROR(DATE(VALUE(RIGHT(S59,4)),MATCH(LEFT(S59,3),{"Jan","Feb","Mar","Apr","May","Jun","Jul","Aug","Sep","Oct","Nov","Dec"},0),VALUE(MID(S59,5,FIND(",",S59)-5))),"Invalid Date"))))))</f>
        <v/>
      </c>
      <c r="U59" t="s">
        <v>296</v>
      </c>
      <c r="V59" t="str">
        <f t="shared" si="19"/>
        <v>Lab Test</v>
      </c>
      <c r="W59" t="s">
        <v>297</v>
      </c>
      <c r="X59" t="str">
        <f t="shared" si="20"/>
        <v>COVID-19</v>
      </c>
      <c r="Y59" t="s">
        <v>434</v>
      </c>
      <c r="Z59" t="str">
        <f t="shared" si="21"/>
        <v>174/103</v>
      </c>
      <c r="AA59" t="str">
        <f t="shared" si="22"/>
        <v>Valid</v>
      </c>
      <c r="AB59" t="s">
        <v>33</v>
      </c>
      <c r="AC59" s="6" t="str">
        <f t="shared" si="7"/>
        <v/>
      </c>
      <c r="AD59" s="6" t="str">
        <f t="shared" si="23"/>
        <v>Missing</v>
      </c>
      <c r="AE59" t="s">
        <v>80</v>
      </c>
      <c r="AF59">
        <f t="shared" si="24"/>
        <v>80</v>
      </c>
      <c r="AG59" t="str">
        <f t="shared" si="25"/>
        <v>Valid</v>
      </c>
      <c r="AI59" t="str">
        <f t="shared" si="26"/>
        <v/>
      </c>
      <c r="AJ59" s="5" t="s">
        <v>435</v>
      </c>
      <c r="AK59">
        <f>IF(TRIM(AJ59)="","",IF(LOWER(TRIM(AJ59))="one hundred",100,IFERROR(IF(VALUE(SUBSTITUTE(UPPER(TRIM(AJ59)),"GHS",""))&lt;0,"",VALUE(SUBSTITUTE(UPPER(TRIM(AJ59)),"GHS",""))),"")))</f>
        <v>312.47000000000003</v>
      </c>
      <c r="AL59" t="s">
        <v>53</v>
      </c>
      <c r="AM59">
        <f t="shared" si="27"/>
        <v>0</v>
      </c>
      <c r="AN59" t="s">
        <v>147</v>
      </c>
      <c r="AO59" t="str">
        <f t="shared" si="28"/>
        <v>Paid</v>
      </c>
      <c r="AP59">
        <f>IF(OR(MessyClinicPatients[[#This Row],[Clean Total Bill]]="",MessyClinicPatients[[#This Row],[Clean Amount Paid]]=""),"",MessyClinicPatients[[#This Row],[Clean Total Bill]]-MessyClinicPatients[[#This Row],[Clean Amount Paid]])</f>
        <v>312.47000000000003</v>
      </c>
      <c r="AQ59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R59" t="s">
        <v>148</v>
      </c>
      <c r="AS59" t="str">
        <f t="shared" si="29"/>
        <v>Dr. Mensah</v>
      </c>
      <c r="AT59" t="s">
        <v>97</v>
      </c>
      <c r="AU59" t="str">
        <f t="shared" si="30"/>
        <v>Patient Came Late</v>
      </c>
    </row>
    <row r="60" spans="1:47" ht="18" customHeight="1">
      <c r="B60" t="str">
        <f t="shared" si="16"/>
        <v/>
      </c>
      <c r="C60" t="s">
        <v>99</v>
      </c>
      <c r="D60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Fatima</v>
      </c>
      <c r="E60" t="s">
        <v>374</v>
      </c>
      <c r="F60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Adams</v>
      </c>
      <c r="G60" s="9">
        <v>-3</v>
      </c>
      <c r="H60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60" t="s">
        <v>74</v>
      </c>
      <c r="J60" t="str">
        <f t="shared" si="17"/>
        <v>Female</v>
      </c>
      <c r="L60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60" t="s">
        <v>436</v>
      </c>
      <c r="N60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0249648751</v>
      </c>
      <c r="O60" t="s">
        <v>437</v>
      </c>
      <c r="P60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fatima_adams@clinicmail.org</v>
      </c>
      <c r="Q60" t="s">
        <v>227</v>
      </c>
      <c r="R60" t="str">
        <f t="shared" si="18"/>
        <v>accra</v>
      </c>
      <c r="S60" t="s">
        <v>92</v>
      </c>
      <c r="T60" s="8" t="str">
        <f>IF(S60="","",IF(ISNUMBER(S60),S60,IF(AND(LEN(S60)=10,MID(S60,5,1)="-"),IFERROR(DATE(VALUE(LEFT(S60,4)),VALUE(MID(S60,6,2)),VALUE(RIGHT(S60,2))),"Invalid Date"),IF(AND(LEN(S60)=10,MID(S60,3,1)="/"),IFERROR(DATE(VALUE(RIGHT(S60,4)),VALUE(MID(S60,4,2)),VALUE(LEFT(S60,2))),"Invalid Date"),IF(AND(LEN(S60)=10,MID(S60,5,1)="/"),"Invalid Date",IFERROR(DATE(VALUE(RIGHT(S60,4)),MATCH(LEFT(S60,3),{"Jan","Feb","Mar","Apr","May","Jun","Jul","Aug","Sep","Oct","Nov","Dec"},0),VALUE(MID(S60,5,FIND(",",S60)-5))),"Invalid Date"))))))</f>
        <v>Invalid Date</v>
      </c>
      <c r="U60" t="s">
        <v>144</v>
      </c>
      <c r="V60" t="str">
        <f t="shared" si="19"/>
        <v>Consultation</v>
      </c>
      <c r="W60" t="s">
        <v>297</v>
      </c>
      <c r="X60" t="str">
        <f t="shared" si="20"/>
        <v>COVID-19</v>
      </c>
      <c r="Z60" t="str">
        <f t="shared" si="21"/>
        <v/>
      </c>
      <c r="AA60" t="str">
        <f t="shared" si="22"/>
        <v>Missing</v>
      </c>
      <c r="AB60" t="s">
        <v>33</v>
      </c>
      <c r="AC60" s="6" t="str">
        <f t="shared" si="7"/>
        <v/>
      </c>
      <c r="AD60" s="6" t="str">
        <f t="shared" si="23"/>
        <v>Missing</v>
      </c>
      <c r="AE60" t="s">
        <v>238</v>
      </c>
      <c r="AF60" t="str">
        <f t="shared" si="24"/>
        <v/>
      </c>
      <c r="AG60" t="str">
        <f t="shared" si="25"/>
        <v>Missing</v>
      </c>
      <c r="AH60" t="s">
        <v>176</v>
      </c>
      <c r="AI60" t="str">
        <f t="shared" si="26"/>
        <v/>
      </c>
      <c r="AJ60" s="5" t="s">
        <v>438</v>
      </c>
      <c r="AK60">
        <f>IF(TRIM(AJ60)="","",IF(LOWER(TRIM(AJ60))="one hundred",100,IFERROR(IF(VALUE(SUBSTITUTE(UPPER(TRIM(AJ60)),"GHS",""))&lt;0,"",VALUE(SUBSTITUTE(UPPER(TRIM(AJ60)),"GHS",""))),"")))</f>
        <v>215.1</v>
      </c>
      <c r="AL60" t="s">
        <v>37</v>
      </c>
      <c r="AM60">
        <f t="shared" si="27"/>
        <v>100</v>
      </c>
      <c r="AO60" t="str">
        <f t="shared" si="28"/>
        <v/>
      </c>
      <c r="AP60">
        <f>IF(OR(MessyClinicPatients[[#This Row],[Clean Total Bill]]="",MessyClinicPatients[[#This Row],[Clean Amount Paid]]=""),"",MessyClinicPatients[[#This Row],[Clean Total Bill]]-MessyClinicPatients[[#This Row],[Clean Amount Paid]])</f>
        <v>115.1</v>
      </c>
      <c r="AQ60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60" t="s">
        <v>54</v>
      </c>
      <c r="AS60" t="str">
        <f t="shared" si="29"/>
        <v>Dr. Lee</v>
      </c>
      <c r="AT60" t="s">
        <v>97</v>
      </c>
      <c r="AU60" t="str">
        <f t="shared" si="30"/>
        <v>Patient Came Late</v>
      </c>
    </row>
    <row r="61" spans="1:47" ht="18" customHeight="1">
      <c r="A61" t="s">
        <v>439</v>
      </c>
      <c r="B61" t="str">
        <f t="shared" si="16"/>
        <v>P-0060</v>
      </c>
      <c r="C61" t="s">
        <v>323</v>
      </c>
      <c r="D61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Michael</v>
      </c>
      <c r="E61" t="s">
        <v>440</v>
      </c>
      <c r="F61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Okafor</v>
      </c>
      <c r="G61" s="9">
        <v>-3</v>
      </c>
      <c r="H61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61" t="s">
        <v>59</v>
      </c>
      <c r="J61" t="str">
        <f t="shared" si="17"/>
        <v>Female</v>
      </c>
      <c r="L61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N61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61" t="s">
        <v>441</v>
      </c>
      <c r="P61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michael.okafor@email.com</v>
      </c>
      <c r="Q61" t="s">
        <v>28</v>
      </c>
      <c r="R61" t="str">
        <f t="shared" si="18"/>
        <v>Ibadan</v>
      </c>
      <c r="S61" t="s">
        <v>442</v>
      </c>
      <c r="T61" s="8">
        <f>IF(S61="","",IF(ISNUMBER(S61),S61,IF(AND(LEN(S61)=10,MID(S61,5,1)="-"),IFERROR(DATE(VALUE(LEFT(S61,4)),VALUE(MID(S61,6,2)),VALUE(RIGHT(S61,2))),"Invalid Date"),IF(AND(LEN(S61)=10,MID(S61,3,1)="/"),IFERROR(DATE(VALUE(RIGHT(S61,4)),VALUE(MID(S61,4,2)),VALUE(LEFT(S61,2))),"Invalid Date"),IF(AND(LEN(S61)=10,MID(S61,5,1)="/"),"Invalid Date",IFERROR(DATE(VALUE(RIGHT(S61,4)),MATCH(LEFT(S61,3),{"Jan","Feb","Mar","Apr","May","Jun","Jul","Aug","Sep","Oct","Nov","Dec"},0),VALUE(MID(S61,5,FIND(",",S61)-5))),"Invalid Date"))))))</f>
        <v>46071</v>
      </c>
      <c r="U61" t="s">
        <v>48</v>
      </c>
      <c r="V61" t="str">
        <f t="shared" si="19"/>
        <v>Routine Checkup</v>
      </c>
      <c r="W61" t="s">
        <v>195</v>
      </c>
      <c r="X61" t="str">
        <f t="shared" si="20"/>
        <v>Skin Rash</v>
      </c>
      <c r="Y61" t="s">
        <v>443</v>
      </c>
      <c r="Z61" t="str">
        <f t="shared" si="21"/>
        <v/>
      </c>
      <c r="AA61" t="str">
        <f t="shared" si="22"/>
        <v>Missing</v>
      </c>
      <c r="AB61" t="s">
        <v>444</v>
      </c>
      <c r="AC61" s="6">
        <f t="shared" si="7"/>
        <v>40.1</v>
      </c>
      <c r="AD61" s="6" t="str">
        <f t="shared" si="23"/>
        <v>Valid</v>
      </c>
      <c r="AE61" t="s">
        <v>204</v>
      </c>
      <c r="AF61" t="str">
        <f t="shared" si="24"/>
        <v/>
      </c>
      <c r="AG61" t="str">
        <f t="shared" si="25"/>
        <v>Missing</v>
      </c>
      <c r="AI61" t="str">
        <f t="shared" si="26"/>
        <v/>
      </c>
      <c r="AJ61" s="5" t="s">
        <v>445</v>
      </c>
      <c r="AK61">
        <f>IF(TRIM(AJ61)="","",IF(LOWER(TRIM(AJ61))="one hundred",100,IFERROR(IF(VALUE(SUBSTITUTE(UPPER(TRIM(AJ61)),"GHS",""))&lt;0,"",VALUE(SUBSTITUTE(UPPER(TRIM(AJ61)),"GHS",""))),"")))</f>
        <v>275.8</v>
      </c>
      <c r="AM61" t="str">
        <f t="shared" si="27"/>
        <v/>
      </c>
      <c r="AN61" t="s">
        <v>137</v>
      </c>
      <c r="AO61" t="str">
        <f t="shared" si="28"/>
        <v>Unpaid</v>
      </c>
      <c r="AP61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61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R61" t="s">
        <v>211</v>
      </c>
      <c r="AS61" t="str">
        <f t="shared" si="29"/>
        <v>Nurse Ama</v>
      </c>
      <c r="AT61" t="s">
        <v>40</v>
      </c>
      <c r="AU61" t="str">
        <f t="shared" si="30"/>
        <v>Needs Follow-Up</v>
      </c>
    </row>
    <row r="62" spans="1:47" ht="18" customHeight="1">
      <c r="A62" t="s">
        <v>446</v>
      </c>
      <c r="B62" t="str">
        <f t="shared" si="16"/>
        <v>P-0061</v>
      </c>
      <c r="C62" t="s">
        <v>161</v>
      </c>
      <c r="D62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Emeka</v>
      </c>
      <c r="E62" t="s">
        <v>120</v>
      </c>
      <c r="F62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Taylor</v>
      </c>
      <c r="G62" s="9">
        <v>130</v>
      </c>
      <c r="H62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62" t="s">
        <v>59</v>
      </c>
      <c r="J62" t="str">
        <f t="shared" si="17"/>
        <v>Female</v>
      </c>
      <c r="L62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N62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62" t="s">
        <v>447</v>
      </c>
      <c r="P62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Q62" t="s">
        <v>76</v>
      </c>
      <c r="R62" t="str">
        <f t="shared" si="18"/>
        <v>Cape Coast</v>
      </c>
      <c r="S62" t="s">
        <v>448</v>
      </c>
      <c r="T62" s="8">
        <f>IF(S62="","",IF(ISNUMBER(S62),S62,IF(AND(LEN(S62)=10,MID(S62,5,1)="-"),IFERROR(DATE(VALUE(LEFT(S62,4)),VALUE(MID(S62,6,2)),VALUE(RIGHT(S62,2))),"Invalid Date"),IF(AND(LEN(S62)=10,MID(S62,3,1)="/"),IFERROR(DATE(VALUE(RIGHT(S62,4)),VALUE(MID(S62,4,2)),VALUE(LEFT(S62,2))),"Invalid Date"),IF(AND(LEN(S62)=10,MID(S62,5,1)="/"),"Invalid Date",IFERROR(DATE(VALUE(RIGHT(S62,4)),MATCH(LEFT(S62,3),{"Jan","Feb","Mar","Apr","May","Jun","Jul","Aug","Sep","Oct","Nov","Dec"},0),VALUE(MID(S62,5,FIND(",",S62)-5))),"Invalid Date"))))))</f>
        <v>46099</v>
      </c>
      <c r="U62" t="s">
        <v>111</v>
      </c>
      <c r="V62" t="str">
        <f t="shared" si="19"/>
        <v>Follow-up</v>
      </c>
      <c r="X62" t="str">
        <f t="shared" si="20"/>
        <v/>
      </c>
      <c r="Y62" t="s">
        <v>449</v>
      </c>
      <c r="Z62" t="str">
        <f t="shared" si="21"/>
        <v/>
      </c>
      <c r="AA62" t="str">
        <f t="shared" si="22"/>
        <v>Missing</v>
      </c>
      <c r="AB62" t="s">
        <v>33</v>
      </c>
      <c r="AC62" s="6" t="str">
        <f t="shared" si="7"/>
        <v/>
      </c>
      <c r="AD62" s="6" t="str">
        <f t="shared" si="23"/>
        <v>Missing</v>
      </c>
      <c r="AE62" t="s">
        <v>204</v>
      </c>
      <c r="AF62" t="str">
        <f t="shared" si="24"/>
        <v/>
      </c>
      <c r="AG62" t="str">
        <f t="shared" si="25"/>
        <v>Missing</v>
      </c>
      <c r="AH62" t="s">
        <v>51</v>
      </c>
      <c r="AI62" t="str">
        <f t="shared" si="26"/>
        <v>Private</v>
      </c>
      <c r="AJ62" s="5" t="s">
        <v>450</v>
      </c>
      <c r="AK62">
        <f>IF(TRIM(AJ62)="","",IF(LOWER(TRIM(AJ62))="one hundred",100,IFERROR(IF(VALUE(SUBSTITUTE(UPPER(TRIM(AJ62)),"GHS",""))&lt;0,"",VALUE(SUBSTITUTE(UPPER(TRIM(AJ62)),"GHS",""))),"")))</f>
        <v>428.84</v>
      </c>
      <c r="AM62" t="str">
        <f t="shared" si="27"/>
        <v/>
      </c>
      <c r="AN62" t="s">
        <v>117</v>
      </c>
      <c r="AO62" t="str">
        <f t="shared" si="28"/>
        <v>Refunded</v>
      </c>
      <c r="AP62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62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Refunded</v>
      </c>
      <c r="AR62" t="s">
        <v>96</v>
      </c>
      <c r="AS62" t="str">
        <f t="shared" si="29"/>
        <v>Nurse Amina</v>
      </c>
      <c r="AT62" t="s">
        <v>159</v>
      </c>
      <c r="AU62" t="str">
        <f t="shared" si="30"/>
        <v>Missing Lab Results</v>
      </c>
    </row>
    <row r="63" spans="1:47" ht="18" customHeight="1">
      <c r="A63" t="s">
        <v>451</v>
      </c>
      <c r="B63" t="str">
        <f t="shared" si="16"/>
        <v>P-1062</v>
      </c>
      <c r="C63" t="s">
        <v>452</v>
      </c>
      <c r="D63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Daniel</v>
      </c>
      <c r="E63" t="s">
        <v>440</v>
      </c>
      <c r="F63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Okafor</v>
      </c>
      <c r="G63" s="9">
        <v>37</v>
      </c>
      <c r="H63" t="str">
        <f>IF(OR(MessyClinicPatients[[#This Row],[Age]]="",MessyClinicPatients[[#This Row],[Age]]="unknown"),"Missing",IF(OR(MessyClinicPatients[[#This Row],[Age]]&lt;0,MessyClinicPatients[[#This Row],[Age]]&gt;120),"Invalid Age","Valid"))</f>
        <v>Valid</v>
      </c>
      <c r="I63" t="s">
        <v>59</v>
      </c>
      <c r="J63" t="str">
        <f t="shared" si="17"/>
        <v>Female</v>
      </c>
      <c r="K63" t="s">
        <v>454</v>
      </c>
      <c r="L63" s="8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32456</v>
      </c>
      <c r="M63" t="s">
        <v>455</v>
      </c>
      <c r="N63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0245548852</v>
      </c>
      <c r="O63" t="s">
        <v>456</v>
      </c>
      <c r="P63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daniel_okafor@clinicmail.org</v>
      </c>
      <c r="Q63" t="s">
        <v>110</v>
      </c>
      <c r="R63" t="str">
        <f t="shared" si="18"/>
        <v>Kumasi</v>
      </c>
      <c r="S63" t="s">
        <v>457</v>
      </c>
      <c r="T63" s="8">
        <f>IF(S63="","",IF(ISNUMBER(S63),S63,IF(AND(LEN(S63)=10,MID(S63,5,1)="-"),IFERROR(DATE(VALUE(LEFT(S63,4)),VALUE(MID(S63,6,2)),VALUE(RIGHT(S63,2))),"Invalid Date"),IF(AND(LEN(S63)=10,MID(S63,3,1)="/"),IFERROR(DATE(VALUE(RIGHT(S63,4)),VALUE(MID(S63,4,2)),VALUE(LEFT(S63,2))),"Invalid Date"),IF(AND(LEN(S63)=10,MID(S63,5,1)="/"),"Invalid Date",IFERROR(DATE(VALUE(RIGHT(S63,4)),MATCH(LEFT(S63,3),{"Jan","Feb","Mar","Apr","May","Jun","Jul","Aug","Sep","Oct","Nov","Dec"},0),VALUE(MID(S63,5,FIND(",",S63)-5))),"Invalid Date"))))))</f>
        <v>46173</v>
      </c>
      <c r="U63" t="s">
        <v>111</v>
      </c>
      <c r="V63" t="str">
        <f t="shared" si="19"/>
        <v>Follow-up</v>
      </c>
      <c r="W63" t="s">
        <v>49</v>
      </c>
      <c r="X63" t="str">
        <f t="shared" si="20"/>
        <v>None</v>
      </c>
      <c r="Y63" t="s">
        <v>458</v>
      </c>
      <c r="Z63" t="str">
        <f t="shared" si="21"/>
        <v>123/100</v>
      </c>
      <c r="AA63" t="str">
        <f t="shared" si="22"/>
        <v>Valid</v>
      </c>
      <c r="AB63" t="s">
        <v>459</v>
      </c>
      <c r="AC63" s="6">
        <f t="shared" si="7"/>
        <v>36.666666666666664</v>
      </c>
      <c r="AD63" s="6" t="str">
        <f t="shared" si="23"/>
        <v>Fahrenheit Converted</v>
      </c>
      <c r="AF63" t="str">
        <f t="shared" si="24"/>
        <v/>
      </c>
      <c r="AG63" t="str">
        <f t="shared" si="25"/>
        <v>Missing</v>
      </c>
      <c r="AH63" t="s">
        <v>176</v>
      </c>
      <c r="AI63" t="str">
        <f t="shared" si="26"/>
        <v/>
      </c>
      <c r="AJ63" s="5" t="s">
        <v>460</v>
      </c>
      <c r="AK63">
        <f>IF(TRIM(AJ63)="","",IF(LOWER(TRIM(AJ63))="one hundred",100,IFERROR(IF(VALUE(SUBSTITUTE(UPPER(TRIM(AJ63)),"GHS",""))&lt;0,"",VALUE(SUBSTITUTE(UPPER(TRIM(AJ63)),"GHS",""))),"")))</f>
        <v>160.63</v>
      </c>
      <c r="AL63" t="s">
        <v>37</v>
      </c>
      <c r="AM63">
        <f t="shared" si="27"/>
        <v>100</v>
      </c>
      <c r="AN63" t="s">
        <v>137</v>
      </c>
      <c r="AO63" t="str">
        <f t="shared" si="28"/>
        <v>Unpaid</v>
      </c>
      <c r="AP63">
        <f>IF(OR(MessyClinicPatients[[#This Row],[Clean Total Bill]]="",MessyClinicPatients[[#This Row],[Clean Amount Paid]]=""),"",MessyClinicPatients[[#This Row],[Clean Total Bill]]-MessyClinicPatients[[#This Row],[Clean Amount Paid]])</f>
        <v>60.629999999999995</v>
      </c>
      <c r="AQ63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63" t="s">
        <v>83</v>
      </c>
      <c r="AS63" t="str">
        <f t="shared" si="29"/>
        <v>Dr. Patel</v>
      </c>
      <c r="AU63" t="str">
        <f t="shared" si="30"/>
        <v/>
      </c>
    </row>
    <row r="64" spans="1:47" ht="18" customHeight="1">
      <c r="B64" t="str">
        <f t="shared" si="16"/>
        <v/>
      </c>
      <c r="C64" t="s">
        <v>233</v>
      </c>
      <c r="D64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Joseph</v>
      </c>
      <c r="E64" t="s">
        <v>461</v>
      </c>
      <c r="F64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Brown</v>
      </c>
      <c r="G64" s="9">
        <v>83</v>
      </c>
      <c r="H64" t="str">
        <f>IF(OR(MessyClinicPatients[[#This Row],[Age]]="",MessyClinicPatients[[#This Row],[Age]]="unknown"),"Missing",IF(OR(MessyClinicPatients[[#This Row],[Age]]&lt;0,MessyClinicPatients[[#This Row],[Age]]&gt;120),"Invalid Age","Valid"))</f>
        <v>Valid</v>
      </c>
      <c r="J64" t="str">
        <f t="shared" si="17"/>
        <v/>
      </c>
      <c r="K64" t="s">
        <v>463</v>
      </c>
      <c r="L64" s="8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16029</v>
      </c>
      <c r="M64" t="s">
        <v>464</v>
      </c>
      <c r="N64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+233248561611</v>
      </c>
      <c r="O64" t="s">
        <v>27</v>
      </c>
      <c r="P64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64" t="s">
        <v>46</v>
      </c>
      <c r="R64" t="str">
        <f t="shared" si="18"/>
        <v>Tema</v>
      </c>
      <c r="S64" t="s">
        <v>465</v>
      </c>
      <c r="T64" s="8">
        <f>IF(S64="","",IF(ISNUMBER(S64),S64,IF(AND(LEN(S64)=10,MID(S64,5,1)="-"),IFERROR(DATE(VALUE(LEFT(S64,4)),VALUE(MID(S64,6,2)),VALUE(RIGHT(S64,2))),"Invalid Date"),IF(AND(LEN(S64)=10,MID(S64,3,1)="/"),IFERROR(DATE(VALUE(RIGHT(S64,4)),VALUE(MID(S64,4,2)),VALUE(LEFT(S64,2))),"Invalid Date"),IF(AND(LEN(S64)=10,MID(S64,5,1)="/"),"Invalid Date",IFERROR(DATE(VALUE(RIGHT(S64,4)),MATCH(LEFT(S64,3),{"Jan","Feb","Mar","Apr","May","Jun","Jul","Aug","Sep","Oct","Nov","Dec"},0),VALUE(MID(S64,5,FIND(",",S64)-5))),"Invalid Date"))))))</f>
        <v>46070</v>
      </c>
      <c r="U64" t="s">
        <v>296</v>
      </c>
      <c r="V64" t="str">
        <f t="shared" si="19"/>
        <v>Lab Test</v>
      </c>
      <c r="W64" t="s">
        <v>224</v>
      </c>
      <c r="X64" t="str">
        <f t="shared" si="20"/>
        <v>Diabetes</v>
      </c>
      <c r="Z64" t="str">
        <f t="shared" si="21"/>
        <v/>
      </c>
      <c r="AA64" t="str">
        <f t="shared" si="22"/>
        <v>Missing</v>
      </c>
      <c r="AB64" t="s">
        <v>466</v>
      </c>
      <c r="AC64" s="6">
        <f t="shared" si="7"/>
        <v>39.944444444444443</v>
      </c>
      <c r="AD64" s="6" t="str">
        <f t="shared" si="23"/>
        <v>Fahrenheit Converted</v>
      </c>
      <c r="AF64" t="str">
        <f t="shared" si="24"/>
        <v/>
      </c>
      <c r="AG64" t="str">
        <f t="shared" si="25"/>
        <v>Missing</v>
      </c>
      <c r="AH64" t="s">
        <v>93</v>
      </c>
      <c r="AI64" t="str">
        <f t="shared" si="26"/>
        <v>Private</v>
      </c>
      <c r="AJ64" s="5" t="s">
        <v>467</v>
      </c>
      <c r="AK64">
        <f>IF(TRIM(AJ64)="","",IF(LOWER(TRIM(AJ64))="one hundred",100,IFERROR(IF(VALUE(SUBSTITUTE(UPPER(TRIM(AJ64)),"GHS",""))&lt;0,"",VALUE(SUBSTITUTE(UPPER(TRIM(AJ64)),"GHS",""))),"")))</f>
        <v>528.51</v>
      </c>
      <c r="AL64" t="s">
        <v>37</v>
      </c>
      <c r="AM64">
        <f t="shared" si="27"/>
        <v>100</v>
      </c>
      <c r="AO64" t="str">
        <f t="shared" si="28"/>
        <v/>
      </c>
      <c r="AP64">
        <f>IF(OR(MessyClinicPatients[[#This Row],[Clean Total Bill]]="",MessyClinicPatients[[#This Row],[Clean Amount Paid]]=""),"",MessyClinicPatients[[#This Row],[Clean Total Bill]]-MessyClinicPatients[[#This Row],[Clean Amount Paid]])</f>
        <v>428.51</v>
      </c>
      <c r="AQ64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64" t="s">
        <v>211</v>
      </c>
      <c r="AS64" t="str">
        <f t="shared" si="29"/>
        <v>Nurse Ama</v>
      </c>
      <c r="AT64" t="s">
        <v>97</v>
      </c>
      <c r="AU64" t="str">
        <f t="shared" si="30"/>
        <v>Patient Came Late</v>
      </c>
    </row>
    <row r="65" spans="1:47" ht="18" customHeight="1">
      <c r="A65" t="s">
        <v>468</v>
      </c>
      <c r="B65" t="str">
        <f t="shared" si="16"/>
        <v>P-0064</v>
      </c>
      <c r="C65" t="s">
        <v>22</v>
      </c>
      <c r="D65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Abena</v>
      </c>
      <c r="E65" t="s">
        <v>57</v>
      </c>
      <c r="F65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Ali</v>
      </c>
      <c r="G65" s="9">
        <v>24</v>
      </c>
      <c r="H65" t="str">
        <f>IF(OR(MessyClinicPatients[[#This Row],[Age]]="",MessyClinicPatients[[#This Row],[Age]]="unknown"),"Missing",IF(OR(MessyClinicPatients[[#This Row],[Age]]&lt;0,MessyClinicPatients[[#This Row],[Age]]&gt;120),"Invalid Age","Valid"))</f>
        <v>Valid</v>
      </c>
      <c r="I65" t="s">
        <v>74</v>
      </c>
      <c r="J65" t="str">
        <f t="shared" si="17"/>
        <v>Female</v>
      </c>
      <c r="K65" t="s">
        <v>470</v>
      </c>
      <c r="L65" s="8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37186</v>
      </c>
      <c r="M65" t="s">
        <v>176</v>
      </c>
      <c r="N65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65" t="s">
        <v>471</v>
      </c>
      <c r="P65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abena.ali@email.com</v>
      </c>
      <c r="R65" t="str">
        <f t="shared" si="18"/>
        <v/>
      </c>
      <c r="S65" t="s">
        <v>472</v>
      </c>
      <c r="T65" s="8">
        <f>IF(S65="","",IF(ISNUMBER(S65),S65,IF(AND(LEN(S65)=10,MID(S65,5,1)="-"),IFERROR(DATE(VALUE(LEFT(S65,4)),VALUE(MID(S65,6,2)),VALUE(RIGHT(S65,2))),"Invalid Date"),IF(AND(LEN(S65)=10,MID(S65,3,1)="/"),IFERROR(DATE(VALUE(RIGHT(S65,4)),VALUE(MID(S65,4,2)),VALUE(LEFT(S65,2))),"Invalid Date"),IF(AND(LEN(S65)=10,MID(S65,5,1)="/"),"Invalid Date",IFERROR(DATE(VALUE(RIGHT(S65,4)),MATCH(LEFT(S65,3),{"Jan","Feb","Mar","Apr","May","Jun","Jul","Aug","Sep","Oct","Nov","Dec"},0),VALUE(MID(S65,5,FIND(",",S65)-5))),"Invalid Date"))))))</f>
        <v>46070</v>
      </c>
      <c r="U65" t="s">
        <v>102</v>
      </c>
      <c r="V65" t="str">
        <f t="shared" si="19"/>
        <v>Consultation</v>
      </c>
      <c r="W65" t="s">
        <v>65</v>
      </c>
      <c r="X65" t="str">
        <f t="shared" si="20"/>
        <v>Hypertension</v>
      </c>
      <c r="Y65" t="s">
        <v>179</v>
      </c>
      <c r="Z65" t="str">
        <f t="shared" si="21"/>
        <v/>
      </c>
      <c r="AA65" t="str">
        <f t="shared" si="22"/>
        <v>Missing</v>
      </c>
      <c r="AB65" t="s">
        <v>33</v>
      </c>
      <c r="AC65" s="6" t="str">
        <f t="shared" si="7"/>
        <v/>
      </c>
      <c r="AD65" s="6" t="str">
        <f t="shared" si="23"/>
        <v>Missing</v>
      </c>
      <c r="AE65" t="s">
        <v>204</v>
      </c>
      <c r="AF65" t="str">
        <f t="shared" si="24"/>
        <v/>
      </c>
      <c r="AG65" t="str">
        <f t="shared" si="25"/>
        <v>Missing</v>
      </c>
      <c r="AH65" t="s">
        <v>35</v>
      </c>
      <c r="AI65" t="str">
        <f t="shared" si="26"/>
        <v>Corporate</v>
      </c>
      <c r="AJ65" s="5" t="s">
        <v>473</v>
      </c>
      <c r="AK65">
        <f>IF(TRIM(AJ65)="","",IF(LOWER(TRIM(AJ65))="one hundred",100,IFERROR(IF(VALUE(SUBSTITUTE(UPPER(TRIM(AJ65)),"GHS",""))&lt;0,"",VALUE(SUBSTITUTE(UPPER(TRIM(AJ65)),"GHS",""))),"")))</f>
        <v>296.92</v>
      </c>
      <c r="AL65" t="s">
        <v>473</v>
      </c>
      <c r="AM65">
        <f t="shared" si="27"/>
        <v>296.92</v>
      </c>
      <c r="AN65" t="s">
        <v>147</v>
      </c>
      <c r="AO65" t="str">
        <f t="shared" si="28"/>
        <v>Paid</v>
      </c>
      <c r="AP65">
        <f>IF(OR(MessyClinicPatients[[#This Row],[Clean Total Bill]]="",MessyClinicPatients[[#This Row],[Clean Amount Paid]]=""),"",MessyClinicPatients[[#This Row],[Clean Total Bill]]-MessyClinicPatients[[#This Row],[Clean Amount Paid]])</f>
        <v>0</v>
      </c>
      <c r="AQ65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65" t="s">
        <v>211</v>
      </c>
      <c r="AS65" t="str">
        <f t="shared" si="29"/>
        <v>Nurse Ama</v>
      </c>
      <c r="AU65" t="str">
        <f t="shared" si="30"/>
        <v/>
      </c>
    </row>
    <row r="66" spans="1:47" ht="18" customHeight="1">
      <c r="A66" t="s">
        <v>474</v>
      </c>
      <c r="B66" t="str">
        <f t="shared" ref="B66:B97" si="31">IF(TRIM(A66)="","",IFERROR("P-"&amp;TEXT(VALUE(SUBSTITUTE(SUBSTITUTE(SUBSTITUTE(UPPER(TRIM(A66)),"PAT",""),"P-",""),"P","")),"0000"),""))</f>
        <v>P-0065</v>
      </c>
      <c r="C66" t="s">
        <v>452</v>
      </c>
      <c r="D66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Daniel</v>
      </c>
      <c r="E66" t="s">
        <v>475</v>
      </c>
      <c r="F66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Ndlovu</v>
      </c>
      <c r="G66" s="9">
        <v>130</v>
      </c>
      <c r="H66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66" t="s">
        <v>59</v>
      </c>
      <c r="J66" t="str">
        <f t="shared" ref="J66:J97" si="32">IF(OR(LOWER(TRIM(I66))="f",LOWER(TRIM(I66))="femal",LOWER(TRIM(I66))="female"),"Female",IF(OR(LOWER(TRIM(I66))="m",LOWER(TRIM(I66))="mal",LOWER(TRIM(I66))="male"),"Male",IF(LOWER(TRIM(I66))="other","Other","")))</f>
        <v>Female</v>
      </c>
      <c r="L66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66" t="s">
        <v>476</v>
      </c>
      <c r="N66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0245949909</v>
      </c>
      <c r="O66" t="s">
        <v>27</v>
      </c>
      <c r="P66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66" t="s">
        <v>289</v>
      </c>
      <c r="R66" t="str">
        <f t="shared" ref="R66:R97" si="33">IF(TRIM(Q66)="","",TRIM(Q66))</f>
        <v>Enugu</v>
      </c>
      <c r="T66" s="8" t="str">
        <f>IF(S66="","",IF(ISNUMBER(S66),S66,IF(AND(LEN(S66)=10,MID(S66,5,1)="-"),IFERROR(DATE(VALUE(LEFT(S66,4)),VALUE(MID(S66,6,2)),VALUE(RIGHT(S66,2))),"Invalid Date"),IF(AND(LEN(S66)=10,MID(S66,3,1)="/"),IFERROR(DATE(VALUE(RIGHT(S66,4)),VALUE(MID(S66,4,2)),VALUE(LEFT(S66,2))),"Invalid Date"),IF(AND(LEN(S66)=10,MID(S66,5,1)="/"),"Invalid Date",IFERROR(DATE(VALUE(RIGHT(S66,4)),MATCH(LEFT(S66,3),{"Jan","Feb","Mar","Apr","May","Jun","Jul","Aug","Sep","Oct","Nov","Dec"},0),VALUE(MID(S66,5,FIND(",",S66)-5))),"Invalid Date"))))))</f>
        <v/>
      </c>
      <c r="V66" t="str">
        <f t="shared" ref="V66:V97" si="34">IF(TRIM(U66)="","",IF(OR(LOWER(TRIM(U66))="consult",LOWER(TRIM(U66))="consultation"),"Consultation",IF(OR(LOWER(TRIM(U66))="follow up",LOWER(TRIM(U66))="follow-up"),"Follow-up",PROPER(TRIM(U66)))))</f>
        <v/>
      </c>
      <c r="W66" t="s">
        <v>65</v>
      </c>
      <c r="X66" t="str">
        <f t="shared" ref="X66:X97" si="35">IF(TRIM(W66)="","",IF(UPPER(TRIM(W66))="COVID-19","COVID-19",PROPER(TRIM(W66))))</f>
        <v>Hypertension</v>
      </c>
      <c r="Y66" t="s">
        <v>477</v>
      </c>
      <c r="Z66" t="str">
        <f t="shared" ref="Z66:Z97" si="36">IF(TRIM(Y66)="","",IF(LOWER(TRIM(Y66))="high","",IF(ISNUMBER(SEARCH("/",TRIM(Y66))),TRIM(Y66),IF(ISNUMBER(SEARCH("-",TRIM(Y66))),SUBSTITUTE(TRIM(Y66),"-","/"),""))))</f>
        <v/>
      </c>
      <c r="AA66" t="str">
        <f t="shared" ref="AA66:AA97" si="37">IF(Z66="","Missing",IFERROR(IF(AND(VALUE(LEFT(Z66,FIND("/",Z66)-1))&gt;=70,VALUE(LEFT(Z66,FIND("/",Z66)-1))&lt;=250,VALUE(MID(Z66,FIND("/",Z66)+1,99))&gt;=40,VALUE(MID(Z66,FIND("/",Z66)+1,99))&lt;=150),"Valid","Invalid Blood Pressure"),"Invalid Blood Pressure"))</f>
        <v>Missing</v>
      </c>
      <c r="AC66" s="6" t="str">
        <f t="shared" ref="AC66:AC129" si="38">IF(OR(AB66="",LOWER(TRIM(AB66&amp;""))="normal"),"",IFERROR(IF(VALUE(AB66)&gt;60,(VALUE(AB66)-32)*5/9,VALUE(AB66)),""))</f>
        <v/>
      </c>
      <c r="AD66" s="6" t="str">
        <f t="shared" ref="AD66:AD97" si="39">IF(AB66="","Missing",IF(LOWER(TRIM(AB66&amp;""))="normal","Missing",IFERROR(IF(VALUE(AB66)&gt;=90,"Fahrenheit Converted","Valid"),"Invalid Temperature")))</f>
        <v>Missing</v>
      </c>
      <c r="AE66" t="s">
        <v>204</v>
      </c>
      <c r="AF66" t="str">
        <f t="shared" ref="AF66:AF97" si="40">IF(TRIM(AE66)="","",IF(LOWER(TRIM(AE66))="eighty",80,IFERROR(IF(AND(VALUE(AE66)&gt;=30,VALUE(AE66)&lt;=250),VALUE(AE66),""),"")))</f>
        <v/>
      </c>
      <c r="AG66" t="str">
        <f t="shared" ref="AG66:AG97" si="41">IF(AF66="","Missing",IF(AF66&lt;=0,"Invalid Weight",IF(AF66&gt;250,"Implausible Weight","Valid")))</f>
        <v>Missing</v>
      </c>
      <c r="AH66" t="s">
        <v>51</v>
      </c>
      <c r="AI66" t="str">
        <f t="shared" ref="AI66:AI97" si="42">IF(OR(TRIM(AH66)="",UPPER(TRIM(AH66))="N/A"),"",IF(UPPER(TRIM(AH66))="NHIS","NHIS",IF(UPPER(TRIM(AH66))="PRIVATE","Private",IF(UPPER(TRIM(AH66))="CORPORATE","Corporate",IF(LOWER(TRIM(AH66))="nhis","NHIS",IF(UPPER(TRIM(AH66))="NONE","None",""))))))</f>
        <v>Private</v>
      </c>
      <c r="AJ66" s="5" t="s">
        <v>478</v>
      </c>
      <c r="AK66">
        <f>IF(TRIM(AJ66)="","",IF(LOWER(TRIM(AJ66))="one hundred",100,IFERROR(IF(VALUE(SUBSTITUTE(UPPER(TRIM(AJ66)),"GHS",""))&lt;0,"",VALUE(SUBSTITUTE(UPPER(TRIM(AJ66)),"GHS",""))),"")))</f>
        <v>453.69</v>
      </c>
      <c r="AM66" t="str">
        <f t="shared" ref="AM66:AM97" si="43">IF(TRIM(AL66)="","",IF(LOWER(TRIM(AL66))="one hundred",100,IFERROR(IF(VALUE(AL66)&lt;0,"",VALUE(AL66)),"")))</f>
        <v/>
      </c>
      <c r="AN66" t="s">
        <v>95</v>
      </c>
      <c r="AO66" t="str">
        <f t="shared" ref="AO66:AO97" si="44">IF(TRIM(AN66)="","",PROPER(TRIM(AN66)))</f>
        <v>Pending</v>
      </c>
      <c r="AP66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66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Pending</v>
      </c>
      <c r="AR66" t="s">
        <v>39</v>
      </c>
      <c r="AS66" t="str">
        <f t="shared" ref="AS66:AS97" si="45">IF(TRIM(AR66)="","",IF(ISNUMBER(SEARCH("NURSE",UPPER(TRIM(AR66)))),"Nurse "&amp;PROPER(TRIM(SUBSTITUTE(UPPER(TRIM(AR66)),"NURSE",""))),"Dr. "&amp;PROPER(TRIM(SUBSTITUTE(SUBSTITUTE(UPPER(TRIM(AR66)),"DR.",""),"DR","")))))</f>
        <v>Dr. Okoro</v>
      </c>
      <c r="AU66" t="str">
        <f t="shared" ref="AU66:AU97" si="46">IF(TRIM(AT66)="","",PROPER(TRIM(AT66)))</f>
        <v/>
      </c>
    </row>
    <row r="67" spans="1:47" ht="18" customHeight="1">
      <c r="B67" t="str">
        <f t="shared" si="31"/>
        <v/>
      </c>
      <c r="C67" t="s">
        <v>129</v>
      </c>
      <c r="D67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Kwame</v>
      </c>
      <c r="E67" t="s">
        <v>120</v>
      </c>
      <c r="F67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Taylor</v>
      </c>
      <c r="H67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67" t="s">
        <v>234</v>
      </c>
      <c r="J67" t="str">
        <f t="shared" si="32"/>
        <v>Male</v>
      </c>
      <c r="L67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67" t="s">
        <v>176</v>
      </c>
      <c r="N67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67" t="s">
        <v>479</v>
      </c>
      <c r="P67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Q67" t="s">
        <v>76</v>
      </c>
      <c r="R67" t="str">
        <f t="shared" si="33"/>
        <v>Cape Coast</v>
      </c>
      <c r="T67" s="8" t="str">
        <f>IF(S67="","",IF(ISNUMBER(S67),S67,IF(AND(LEN(S67)=10,MID(S67,5,1)="-"),IFERROR(DATE(VALUE(LEFT(S67,4)),VALUE(MID(S67,6,2)),VALUE(RIGHT(S67,2))),"Invalid Date"),IF(AND(LEN(S67)=10,MID(S67,3,1)="/"),IFERROR(DATE(VALUE(RIGHT(S67,4)),VALUE(MID(S67,4,2)),VALUE(LEFT(S67,2))),"Invalid Date"),IF(AND(LEN(S67)=10,MID(S67,5,1)="/"),"Invalid Date",IFERROR(DATE(VALUE(RIGHT(S67,4)),MATCH(LEFT(S67,3),{"Jan","Feb","Mar","Apr","May","Jun","Jul","Aug","Sep","Oct","Nov","Dec"},0),VALUE(MID(S67,5,FIND(",",S67)-5))),"Invalid Date"))))))</f>
        <v/>
      </c>
      <c r="U67" t="s">
        <v>30</v>
      </c>
      <c r="V67" t="str">
        <f t="shared" si="34"/>
        <v>Vaccination</v>
      </c>
      <c r="X67" t="str">
        <f t="shared" si="35"/>
        <v/>
      </c>
      <c r="Y67" t="s">
        <v>179</v>
      </c>
      <c r="Z67" t="str">
        <f t="shared" si="36"/>
        <v/>
      </c>
      <c r="AA67" t="str">
        <f t="shared" si="37"/>
        <v>Missing</v>
      </c>
      <c r="AB67" t="s">
        <v>480</v>
      </c>
      <c r="AC67" s="6">
        <f t="shared" si="38"/>
        <v>35.277777777777779</v>
      </c>
      <c r="AD67" s="6" t="str">
        <f t="shared" si="39"/>
        <v>Fahrenheit Converted</v>
      </c>
      <c r="AE67" t="s">
        <v>80</v>
      </c>
      <c r="AF67">
        <f t="shared" si="40"/>
        <v>80</v>
      </c>
      <c r="AG67" t="str">
        <f t="shared" si="41"/>
        <v>Valid</v>
      </c>
      <c r="AH67" t="s">
        <v>81</v>
      </c>
      <c r="AI67" t="str">
        <f t="shared" si="42"/>
        <v>NHIS</v>
      </c>
      <c r="AJ67" s="5" t="s">
        <v>481</v>
      </c>
      <c r="AK67">
        <f>IF(TRIM(AJ67)="","",IF(LOWER(TRIM(AJ67))="one hundred",100,IFERROR(IF(VALUE(SUBSTITUTE(UPPER(TRIM(AJ67)),"GHS",""))&lt;0,"",VALUE(SUBSTITUTE(UPPER(TRIM(AJ67)),"GHS",""))),"")))</f>
        <v>72.75</v>
      </c>
      <c r="AL67" t="s">
        <v>481</v>
      </c>
      <c r="AM67">
        <f t="shared" si="43"/>
        <v>72.75</v>
      </c>
      <c r="AN67" t="s">
        <v>95</v>
      </c>
      <c r="AO67" t="str">
        <f t="shared" si="44"/>
        <v>Pending</v>
      </c>
      <c r="AP67">
        <f>IF(OR(MessyClinicPatients[[#This Row],[Clean Total Bill]]="",MessyClinicPatients[[#This Row],[Clean Amount Paid]]=""),"",MessyClinicPatients[[#This Row],[Clean Total Bill]]-MessyClinicPatients[[#This Row],[Clean Amount Paid]])</f>
        <v>0</v>
      </c>
      <c r="AQ67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67" t="s">
        <v>39</v>
      </c>
      <c r="AS67" t="str">
        <f t="shared" si="45"/>
        <v>Dr. Okoro</v>
      </c>
      <c r="AT67" t="s">
        <v>159</v>
      </c>
      <c r="AU67" t="str">
        <f t="shared" si="46"/>
        <v>Missing Lab Results</v>
      </c>
    </row>
    <row r="68" spans="1:47" ht="18" customHeight="1">
      <c r="A68" t="s">
        <v>482</v>
      </c>
      <c r="B68" t="str">
        <f t="shared" si="31"/>
        <v>P-0067</v>
      </c>
      <c r="C68" t="s">
        <v>129</v>
      </c>
      <c r="D68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Kwame</v>
      </c>
      <c r="E68" t="s">
        <v>219</v>
      </c>
      <c r="F68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Yakubu</v>
      </c>
      <c r="G68" s="9">
        <v>45</v>
      </c>
      <c r="H68" t="str">
        <f>IF(OR(MessyClinicPatients[[#This Row],[Age]]="",MessyClinicPatients[[#This Row],[Age]]="unknown"),"Missing",IF(OR(MessyClinicPatients[[#This Row],[Age]]&lt;0,MessyClinicPatients[[#This Row],[Age]]&gt;120),"Invalid Age","Valid"))</f>
        <v>Valid</v>
      </c>
      <c r="I68" t="s">
        <v>234</v>
      </c>
      <c r="J68" t="str">
        <f t="shared" si="32"/>
        <v>Male</v>
      </c>
      <c r="K68" t="s">
        <v>483</v>
      </c>
      <c r="L68" s="8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29633</v>
      </c>
      <c r="M68" t="s">
        <v>484</v>
      </c>
      <c r="N68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9847567887</v>
      </c>
      <c r="O68" t="s">
        <v>27</v>
      </c>
      <c r="P68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68" t="s">
        <v>46</v>
      </c>
      <c r="R68" t="str">
        <f t="shared" si="33"/>
        <v>Tema</v>
      </c>
      <c r="T68" s="8" t="str">
        <f>IF(S68="","",IF(ISNUMBER(S68),S68,IF(AND(LEN(S68)=10,MID(S68,5,1)="-"),IFERROR(DATE(VALUE(LEFT(S68,4)),VALUE(MID(S68,6,2)),VALUE(RIGHT(S68,2))),"Invalid Date"),IF(AND(LEN(S68)=10,MID(S68,3,1)="/"),IFERROR(DATE(VALUE(RIGHT(S68,4)),VALUE(MID(S68,4,2)),VALUE(LEFT(S68,2))),"Invalid Date"),IF(AND(LEN(S68)=10,MID(S68,5,1)="/"),"Invalid Date",IFERROR(DATE(VALUE(RIGHT(S68,4)),MATCH(LEFT(S68,3),{"Jan","Feb","Mar","Apr","May","Jun","Jul","Aug","Sep","Oct","Nov","Dec"},0),VALUE(MID(S68,5,FIND(",",S68)-5))),"Invalid Date"))))))</f>
        <v/>
      </c>
      <c r="U68" t="s">
        <v>48</v>
      </c>
      <c r="V68" t="str">
        <f t="shared" si="34"/>
        <v>Routine Checkup</v>
      </c>
      <c r="W68" t="s">
        <v>49</v>
      </c>
      <c r="X68" t="str">
        <f t="shared" si="35"/>
        <v>None</v>
      </c>
      <c r="Z68" t="str">
        <f t="shared" si="36"/>
        <v/>
      </c>
      <c r="AA68" t="str">
        <f t="shared" si="37"/>
        <v>Missing</v>
      </c>
      <c r="AB68" t="s">
        <v>466</v>
      </c>
      <c r="AC68" s="6">
        <f t="shared" si="38"/>
        <v>39.944444444444443</v>
      </c>
      <c r="AD68" s="6" t="str">
        <f t="shared" si="39"/>
        <v>Fahrenheit Converted</v>
      </c>
      <c r="AF68" t="str">
        <f t="shared" si="40"/>
        <v/>
      </c>
      <c r="AG68" t="str">
        <f t="shared" si="41"/>
        <v>Missing</v>
      </c>
      <c r="AI68" t="str">
        <f t="shared" si="42"/>
        <v/>
      </c>
      <c r="AJ68" s="5" t="s">
        <v>485</v>
      </c>
      <c r="AK68">
        <f>IF(TRIM(AJ68)="","",IF(LOWER(TRIM(AJ68))="one hundred",100,IFERROR(IF(VALUE(SUBSTITUTE(UPPER(TRIM(AJ68)),"GHS",""))&lt;0,"",VALUE(SUBSTITUTE(UPPER(TRIM(AJ68)),"GHS",""))),"")))</f>
        <v>66.540000000000006</v>
      </c>
      <c r="AL68" t="s">
        <v>37</v>
      </c>
      <c r="AM68">
        <f t="shared" si="43"/>
        <v>100</v>
      </c>
      <c r="AN68" t="s">
        <v>117</v>
      </c>
      <c r="AO68" t="str">
        <f t="shared" si="44"/>
        <v>Refunded</v>
      </c>
      <c r="AP68">
        <f>IF(OR(MessyClinicPatients[[#This Row],[Clean Total Bill]]="",MessyClinicPatients[[#This Row],[Clean Amount Paid]]=""),"",MessyClinicPatients[[#This Row],[Clean Total Bill]]-MessyClinicPatients[[#This Row],[Clean Amount Paid]])</f>
        <v>-33.459999999999994</v>
      </c>
      <c r="AQ68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68" t="s">
        <v>54</v>
      </c>
      <c r="AS68" t="str">
        <f t="shared" si="45"/>
        <v>Dr. Lee</v>
      </c>
      <c r="AU68" t="str">
        <f t="shared" si="46"/>
        <v/>
      </c>
    </row>
    <row r="69" spans="1:47" ht="18" customHeight="1">
      <c r="A69" t="s">
        <v>486</v>
      </c>
      <c r="B69" t="str">
        <f t="shared" si="31"/>
        <v>P-0068</v>
      </c>
      <c r="C69" t="s">
        <v>71</v>
      </c>
      <c r="D69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Samuel</v>
      </c>
      <c r="E69" t="s">
        <v>282</v>
      </c>
      <c r="F69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Cole</v>
      </c>
      <c r="H69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69" t="s">
        <v>59</v>
      </c>
      <c r="J69" t="str">
        <f t="shared" si="32"/>
        <v>Female</v>
      </c>
      <c r="L69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69" t="s">
        <v>487</v>
      </c>
      <c r="N69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0241540516</v>
      </c>
      <c r="O69" t="s">
        <v>488</v>
      </c>
      <c r="P69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samuel.cole@email.com</v>
      </c>
      <c r="Q69" t="s">
        <v>46</v>
      </c>
      <c r="R69" t="str">
        <f t="shared" si="33"/>
        <v>Tema</v>
      </c>
      <c r="S69" t="s">
        <v>92</v>
      </c>
      <c r="T69" s="8" t="str">
        <f>IF(S69="","",IF(ISNUMBER(S69),S69,IF(AND(LEN(S69)=10,MID(S69,5,1)="-"),IFERROR(DATE(VALUE(LEFT(S69,4)),VALUE(MID(S69,6,2)),VALUE(RIGHT(S69,2))),"Invalid Date"),IF(AND(LEN(S69)=10,MID(S69,3,1)="/"),IFERROR(DATE(VALUE(RIGHT(S69,4)),VALUE(MID(S69,4,2)),VALUE(LEFT(S69,2))),"Invalid Date"),IF(AND(LEN(S69)=10,MID(S69,5,1)="/"),"Invalid Date",IFERROR(DATE(VALUE(RIGHT(S69,4)),MATCH(LEFT(S69,3),{"Jan","Feb","Mar","Apr","May","Jun","Jul","Aug","Sep","Oct","Nov","Dec"},0),VALUE(MID(S69,5,FIND(",",S69)-5))),"Invalid Date"))))))</f>
        <v>Invalid Date</v>
      </c>
      <c r="U69" t="s">
        <v>296</v>
      </c>
      <c r="V69" t="str">
        <f t="shared" si="34"/>
        <v>Lab Test</v>
      </c>
      <c r="X69" t="str">
        <f t="shared" si="35"/>
        <v/>
      </c>
      <c r="Y69" t="s">
        <v>489</v>
      </c>
      <c r="Z69" t="str">
        <f t="shared" si="36"/>
        <v>101/75</v>
      </c>
      <c r="AA69" t="str">
        <f t="shared" si="37"/>
        <v>Valid</v>
      </c>
      <c r="AC69" s="6" t="str">
        <f t="shared" si="38"/>
        <v/>
      </c>
      <c r="AD69" s="6" t="str">
        <f t="shared" si="39"/>
        <v>Missing</v>
      </c>
      <c r="AE69" t="s">
        <v>490</v>
      </c>
      <c r="AF69">
        <f t="shared" si="40"/>
        <v>91.3</v>
      </c>
      <c r="AG69" t="str">
        <f t="shared" si="41"/>
        <v>Valid</v>
      </c>
      <c r="AH69" t="s">
        <v>51</v>
      </c>
      <c r="AI69" t="str">
        <f t="shared" si="42"/>
        <v>Private</v>
      </c>
      <c r="AJ69" s="5" t="s">
        <v>491</v>
      </c>
      <c r="AK69">
        <f>IF(TRIM(AJ69)="","",IF(LOWER(TRIM(AJ69))="one hundred",100,IFERROR(IF(VALUE(SUBSTITUTE(UPPER(TRIM(AJ69)),"GHS",""))&lt;0,"",VALUE(SUBSTITUTE(UPPER(TRIM(AJ69)),"GHS",""))),"")))</f>
        <v>39.47</v>
      </c>
      <c r="AL69" t="s">
        <v>116</v>
      </c>
      <c r="AM69" t="str">
        <f t="shared" si="43"/>
        <v/>
      </c>
      <c r="AN69" t="s">
        <v>117</v>
      </c>
      <c r="AO69" t="str">
        <f t="shared" si="44"/>
        <v>Refunded</v>
      </c>
      <c r="AP69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69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Refunded</v>
      </c>
      <c r="AR69" t="s">
        <v>69</v>
      </c>
      <c r="AS69" t="str">
        <f t="shared" si="45"/>
        <v>Dr. Mensah</v>
      </c>
      <c r="AT69" t="s">
        <v>40</v>
      </c>
      <c r="AU69" t="str">
        <f t="shared" si="46"/>
        <v>Needs Follow-Up</v>
      </c>
    </row>
    <row r="70" spans="1:47" ht="18" customHeight="1">
      <c r="A70" t="s">
        <v>492</v>
      </c>
      <c r="B70" t="str">
        <f t="shared" si="31"/>
        <v>P-0069</v>
      </c>
      <c r="C70" t="s">
        <v>71</v>
      </c>
      <c r="D70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Samuel</v>
      </c>
      <c r="E70" t="s">
        <v>461</v>
      </c>
      <c r="F70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Brown</v>
      </c>
      <c r="G70" s="9">
        <v>130</v>
      </c>
      <c r="H70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J70" t="str">
        <f t="shared" si="32"/>
        <v/>
      </c>
      <c r="L70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70" t="s">
        <v>61</v>
      </c>
      <c r="N70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Invalid Phone</v>
      </c>
      <c r="O70" t="s">
        <v>27</v>
      </c>
      <c r="P70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70" t="s">
        <v>222</v>
      </c>
      <c r="R70" t="str">
        <f t="shared" si="33"/>
        <v>Abuja</v>
      </c>
      <c r="T70" s="8" t="str">
        <f>IF(S70="","",IF(ISNUMBER(S70),S70,IF(AND(LEN(S70)=10,MID(S70,5,1)="-"),IFERROR(DATE(VALUE(LEFT(S70,4)),VALUE(MID(S70,6,2)),VALUE(RIGHT(S70,2))),"Invalid Date"),IF(AND(LEN(S70)=10,MID(S70,3,1)="/"),IFERROR(DATE(VALUE(RIGHT(S70,4)),VALUE(MID(S70,4,2)),VALUE(LEFT(S70,2))),"Invalid Date"),IF(AND(LEN(S70)=10,MID(S70,5,1)="/"),"Invalid Date",IFERROR(DATE(VALUE(RIGHT(S70,4)),MATCH(LEFT(S70,3),{"Jan","Feb","Mar","Apr","May","Jun","Jul","Aug","Sep","Oct","Nov","Dec"},0),VALUE(MID(S70,5,FIND(",",S70)-5))),"Invalid Date"))))))</f>
        <v/>
      </c>
      <c r="U70" t="s">
        <v>296</v>
      </c>
      <c r="V70" t="str">
        <f t="shared" si="34"/>
        <v>Lab Test</v>
      </c>
      <c r="W70" t="s">
        <v>229</v>
      </c>
      <c r="X70" t="str">
        <f t="shared" si="35"/>
        <v>Flu</v>
      </c>
      <c r="Y70" t="s">
        <v>252</v>
      </c>
      <c r="Z70" t="str">
        <f t="shared" si="36"/>
        <v/>
      </c>
      <c r="AA70" t="str">
        <f t="shared" si="37"/>
        <v>Missing</v>
      </c>
      <c r="AC70" s="6" t="str">
        <f t="shared" si="38"/>
        <v/>
      </c>
      <c r="AD70" s="6" t="str">
        <f t="shared" si="39"/>
        <v>Missing</v>
      </c>
      <c r="AF70" t="str">
        <f t="shared" si="40"/>
        <v/>
      </c>
      <c r="AG70" t="str">
        <f t="shared" si="41"/>
        <v>Missing</v>
      </c>
      <c r="AH70" t="s">
        <v>49</v>
      </c>
      <c r="AI70" t="str">
        <f t="shared" si="42"/>
        <v>None</v>
      </c>
      <c r="AJ70" s="5" t="s">
        <v>493</v>
      </c>
      <c r="AK70">
        <f>IF(TRIM(AJ70)="","",IF(LOWER(TRIM(AJ70))="one hundred",100,IFERROR(IF(VALUE(SUBSTITUTE(UPPER(TRIM(AJ70)),"GHS",""))&lt;0,"",VALUE(SUBSTITUTE(UPPER(TRIM(AJ70)),"GHS",""))),"")))</f>
        <v>47.19</v>
      </c>
      <c r="AL70" t="s">
        <v>116</v>
      </c>
      <c r="AM70" t="str">
        <f t="shared" si="43"/>
        <v/>
      </c>
      <c r="AN70" t="s">
        <v>147</v>
      </c>
      <c r="AO70" t="str">
        <f t="shared" si="44"/>
        <v>Paid</v>
      </c>
      <c r="AP70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70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S70" t="str">
        <f t="shared" si="45"/>
        <v/>
      </c>
      <c r="AT70" t="s">
        <v>97</v>
      </c>
      <c r="AU70" t="str">
        <f t="shared" si="46"/>
        <v>Patient Came Late</v>
      </c>
    </row>
    <row r="71" spans="1:47" ht="18" customHeight="1">
      <c r="A71" t="s">
        <v>494</v>
      </c>
      <c r="B71" t="str">
        <f t="shared" si="31"/>
        <v>P-1070</v>
      </c>
      <c r="C71" t="s">
        <v>259</v>
      </c>
      <c r="D71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Sarah</v>
      </c>
      <c r="E71" t="s">
        <v>120</v>
      </c>
      <c r="F71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Taylor</v>
      </c>
      <c r="H71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71" t="s">
        <v>234</v>
      </c>
      <c r="J71" t="str">
        <f t="shared" si="32"/>
        <v>Male</v>
      </c>
      <c r="L71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71" t="s">
        <v>176</v>
      </c>
      <c r="N71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71" t="s">
        <v>495</v>
      </c>
      <c r="P71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sarah.taylor@email.com</v>
      </c>
      <c r="Q71" t="s">
        <v>222</v>
      </c>
      <c r="R71" t="str">
        <f t="shared" si="33"/>
        <v>Abuja</v>
      </c>
      <c r="S71" t="s">
        <v>496</v>
      </c>
      <c r="T71" s="8">
        <f>IF(S71="","",IF(ISNUMBER(S71),S71,IF(AND(LEN(S71)=10,MID(S71,5,1)="-"),IFERROR(DATE(VALUE(LEFT(S71,4)),VALUE(MID(S71,6,2)),VALUE(RIGHT(S71,2))),"Invalid Date"),IF(AND(LEN(S71)=10,MID(S71,3,1)="/"),IFERROR(DATE(VALUE(RIGHT(S71,4)),VALUE(MID(S71,4,2)),VALUE(LEFT(S71,2))),"Invalid Date"),IF(AND(LEN(S71)=10,MID(S71,5,1)="/"),"Invalid Date",IFERROR(DATE(VALUE(RIGHT(S71,4)),MATCH(LEFT(S71,3),{"Jan","Feb","Mar","Apr","May","Jun","Jul","Aug","Sep","Oct","Nov","Dec"},0),VALUE(MID(S71,5,FIND(",",S71)-5))),"Invalid Date"))))))</f>
        <v>46160</v>
      </c>
      <c r="U71" t="s">
        <v>296</v>
      </c>
      <c r="V71" t="str">
        <f t="shared" si="34"/>
        <v>Lab Test</v>
      </c>
      <c r="W71" t="s">
        <v>65</v>
      </c>
      <c r="X71" t="str">
        <f t="shared" si="35"/>
        <v>Hypertension</v>
      </c>
      <c r="Y71" t="s">
        <v>497</v>
      </c>
      <c r="Z71" t="str">
        <f t="shared" si="36"/>
        <v>172/62</v>
      </c>
      <c r="AA71" t="str">
        <f t="shared" si="37"/>
        <v>Valid</v>
      </c>
      <c r="AC71" s="6" t="str">
        <f t="shared" si="38"/>
        <v/>
      </c>
      <c r="AD71" s="6" t="str">
        <f t="shared" si="39"/>
        <v>Missing</v>
      </c>
      <c r="AE71" t="s">
        <v>80</v>
      </c>
      <c r="AF71">
        <f t="shared" si="40"/>
        <v>80</v>
      </c>
      <c r="AG71" t="str">
        <f t="shared" si="41"/>
        <v>Valid</v>
      </c>
      <c r="AH71" t="s">
        <v>93</v>
      </c>
      <c r="AI71" t="str">
        <f t="shared" si="42"/>
        <v>Private</v>
      </c>
      <c r="AJ71" s="5" t="s">
        <v>498</v>
      </c>
      <c r="AK71">
        <f>IF(TRIM(AJ71)="","",IF(LOWER(TRIM(AJ71))="one hundred",100,IFERROR(IF(VALUE(SUBSTITUTE(UPPER(TRIM(AJ71)),"GHS",""))&lt;0,"",VALUE(SUBSTITUTE(UPPER(TRIM(AJ71)),"GHS",""))),"")))</f>
        <v>49.89</v>
      </c>
      <c r="AL71" t="s">
        <v>37</v>
      </c>
      <c r="AM71">
        <f t="shared" si="43"/>
        <v>100</v>
      </c>
      <c r="AN71" t="s">
        <v>117</v>
      </c>
      <c r="AO71" t="str">
        <f t="shared" si="44"/>
        <v>Refunded</v>
      </c>
      <c r="AP71">
        <f>IF(OR(MessyClinicPatients[[#This Row],[Clean Total Bill]]="",MessyClinicPatients[[#This Row],[Clean Amount Paid]]=""),"",MessyClinicPatients[[#This Row],[Clean Total Bill]]-MessyClinicPatients[[#This Row],[Clean Amount Paid]])</f>
        <v>-50.11</v>
      </c>
      <c r="AQ71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71" t="s">
        <v>211</v>
      </c>
      <c r="AS71" t="str">
        <f t="shared" si="45"/>
        <v>Nurse Ama</v>
      </c>
      <c r="AT71" t="s">
        <v>171</v>
      </c>
      <c r="AU71" t="str">
        <f t="shared" si="46"/>
        <v>Allergy: Penicillin</v>
      </c>
    </row>
    <row r="72" spans="1:47" ht="18" customHeight="1">
      <c r="A72" t="s">
        <v>499</v>
      </c>
      <c r="B72" t="str">
        <f t="shared" si="31"/>
        <v>P-1071</v>
      </c>
      <c r="C72" t="s">
        <v>161</v>
      </c>
      <c r="D72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Emeka</v>
      </c>
      <c r="E72" t="s">
        <v>162</v>
      </c>
      <c r="F72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Johnson</v>
      </c>
      <c r="H72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72" t="s">
        <v>88</v>
      </c>
      <c r="J72" t="str">
        <f t="shared" si="32"/>
        <v>Female</v>
      </c>
      <c r="L72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72" t="s">
        <v>61</v>
      </c>
      <c r="N72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Invalid Phone</v>
      </c>
      <c r="P72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72" t="s">
        <v>101</v>
      </c>
      <c r="R72" t="str">
        <f t="shared" si="33"/>
        <v>Accra</v>
      </c>
      <c r="S72" t="s">
        <v>500</v>
      </c>
      <c r="T72" s="8">
        <f>IF(S72="","",IF(ISNUMBER(S72),S72,IF(AND(LEN(S72)=10,MID(S72,5,1)="-"),IFERROR(DATE(VALUE(LEFT(S72,4)),VALUE(MID(S72,6,2)),VALUE(RIGHT(S72,2))),"Invalid Date"),IF(AND(LEN(S72)=10,MID(S72,3,1)="/"),IFERROR(DATE(VALUE(RIGHT(S72,4)),VALUE(MID(S72,4,2)),VALUE(LEFT(S72,2))),"Invalid Date"),IF(AND(LEN(S72)=10,MID(S72,5,1)="/"),"Invalid Date",IFERROR(DATE(VALUE(RIGHT(S72,4)),MATCH(LEFT(S72,3),{"Jan","Feb","Mar","Apr","May","Jun","Jul","Aug","Sep","Oct","Nov","Dec"},0),VALUE(MID(S72,5,FIND(",",S72)-5))),"Invalid Date"))))))</f>
        <v>46089</v>
      </c>
      <c r="U72" t="s">
        <v>30</v>
      </c>
      <c r="V72" t="str">
        <f t="shared" si="34"/>
        <v>Vaccination</v>
      </c>
      <c r="W72" t="s">
        <v>195</v>
      </c>
      <c r="X72" t="str">
        <f t="shared" si="35"/>
        <v>Skin Rash</v>
      </c>
      <c r="Z72" t="str">
        <f t="shared" si="36"/>
        <v/>
      </c>
      <c r="AA72" t="str">
        <f t="shared" si="37"/>
        <v>Missing</v>
      </c>
      <c r="AB72" t="s">
        <v>501</v>
      </c>
      <c r="AC72" s="6">
        <f t="shared" si="38"/>
        <v>36.833333333333336</v>
      </c>
      <c r="AD72" s="6" t="str">
        <f t="shared" si="39"/>
        <v>Fahrenheit Converted</v>
      </c>
      <c r="AF72" t="str">
        <f t="shared" si="40"/>
        <v/>
      </c>
      <c r="AG72" t="str">
        <f t="shared" si="41"/>
        <v>Missing</v>
      </c>
      <c r="AI72" t="str">
        <f t="shared" si="42"/>
        <v/>
      </c>
      <c r="AJ72" s="5" t="s">
        <v>502</v>
      </c>
      <c r="AK72">
        <f>IF(TRIM(AJ72)="","",IF(LOWER(TRIM(AJ72))="one hundred",100,IFERROR(IF(VALUE(SUBSTITUTE(UPPER(TRIM(AJ72)),"GHS",""))&lt;0,"",VALUE(SUBSTITUTE(UPPER(TRIM(AJ72)),"GHS",""))),"")))</f>
        <v>317.43</v>
      </c>
      <c r="AL72" t="s">
        <v>502</v>
      </c>
      <c r="AM72">
        <f t="shared" si="43"/>
        <v>317.43</v>
      </c>
      <c r="AN72" t="s">
        <v>137</v>
      </c>
      <c r="AO72" t="str">
        <f t="shared" si="44"/>
        <v>Unpaid</v>
      </c>
      <c r="AP72">
        <f>IF(OR(MessyClinicPatients[[#This Row],[Clean Total Bill]]="",MessyClinicPatients[[#This Row],[Clean Amount Paid]]=""),"",MessyClinicPatients[[#This Row],[Clean Total Bill]]-MessyClinicPatients[[#This Row],[Clean Amount Paid]])</f>
        <v>0</v>
      </c>
      <c r="AQ72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72" t="s">
        <v>69</v>
      </c>
      <c r="AS72" t="str">
        <f t="shared" si="45"/>
        <v>Dr. Mensah</v>
      </c>
      <c r="AT72" t="s">
        <v>159</v>
      </c>
      <c r="AU72" t="str">
        <f t="shared" si="46"/>
        <v>Missing Lab Results</v>
      </c>
    </row>
    <row r="73" spans="1:47" ht="18" customHeight="1">
      <c r="A73" t="s">
        <v>503</v>
      </c>
      <c r="B73" t="str">
        <f t="shared" si="31"/>
        <v>P-1072</v>
      </c>
      <c r="C73" t="s">
        <v>71</v>
      </c>
      <c r="D73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Samuel</v>
      </c>
      <c r="E73" t="s">
        <v>43</v>
      </c>
      <c r="F73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Osei</v>
      </c>
      <c r="H73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73" t="s">
        <v>234</v>
      </c>
      <c r="J73" t="str">
        <f t="shared" si="32"/>
        <v>Male</v>
      </c>
      <c r="L73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73" t="s">
        <v>61</v>
      </c>
      <c r="N73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Invalid Phone</v>
      </c>
      <c r="O73" t="s">
        <v>27</v>
      </c>
      <c r="P73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73" t="s">
        <v>101</v>
      </c>
      <c r="R73" t="str">
        <f t="shared" si="33"/>
        <v>Accra</v>
      </c>
      <c r="S73" t="s">
        <v>504</v>
      </c>
      <c r="T73" s="8">
        <f>IF(S73="","",IF(ISNUMBER(S73),S73,IF(AND(LEN(S73)=10,MID(S73,5,1)="-"),IFERROR(DATE(VALUE(LEFT(S73,4)),VALUE(MID(S73,6,2)),VALUE(RIGHT(S73,2))),"Invalid Date"),IF(AND(LEN(S73)=10,MID(S73,3,1)="/"),IFERROR(DATE(VALUE(RIGHT(S73,4)),VALUE(MID(S73,4,2)),VALUE(LEFT(S73,2))),"Invalid Date"),IF(AND(LEN(S73)=10,MID(S73,5,1)="/"),"Invalid Date",IFERROR(DATE(VALUE(RIGHT(S73,4)),MATCH(LEFT(S73,3),{"Jan","Feb","Mar","Apr","May","Jun","Jul","Aug","Sep","Oct","Nov","Dec"},0),VALUE(MID(S73,5,FIND(",",S73)-5))),"Invalid Date"))))))</f>
        <v>46140</v>
      </c>
      <c r="U73" t="s">
        <v>111</v>
      </c>
      <c r="V73" t="str">
        <f t="shared" si="34"/>
        <v>Follow-up</v>
      </c>
      <c r="W73" t="s">
        <v>31</v>
      </c>
      <c r="X73" t="str">
        <f t="shared" si="35"/>
        <v>Malaria</v>
      </c>
      <c r="Y73" t="s">
        <v>505</v>
      </c>
      <c r="Z73" t="str">
        <f t="shared" si="36"/>
        <v/>
      </c>
      <c r="AA73" t="str">
        <f t="shared" si="37"/>
        <v>Missing</v>
      </c>
      <c r="AB73" t="s">
        <v>506</v>
      </c>
      <c r="AC73" s="6">
        <f t="shared" si="38"/>
        <v>40.4</v>
      </c>
      <c r="AD73" s="6" t="str">
        <f t="shared" si="39"/>
        <v>Valid</v>
      </c>
      <c r="AE73" t="s">
        <v>507</v>
      </c>
      <c r="AF73">
        <f t="shared" si="40"/>
        <v>101.2</v>
      </c>
      <c r="AG73" t="str">
        <f t="shared" si="41"/>
        <v>Valid</v>
      </c>
      <c r="AH73" t="s">
        <v>35</v>
      </c>
      <c r="AI73" t="str">
        <f t="shared" si="42"/>
        <v>Corporate</v>
      </c>
      <c r="AJ73" s="5" t="s">
        <v>508</v>
      </c>
      <c r="AK73">
        <f>IF(TRIM(AJ73)="","",IF(LOWER(TRIM(AJ73))="one hundred",100,IFERROR(IF(VALUE(SUBSTITUTE(UPPER(TRIM(AJ73)),"GHS",""))&lt;0,"",VALUE(SUBSTITUTE(UPPER(TRIM(AJ73)),"GHS",""))),"")))</f>
        <v>445.01</v>
      </c>
      <c r="AL73" t="s">
        <v>509</v>
      </c>
      <c r="AM73">
        <f t="shared" si="43"/>
        <v>156.72</v>
      </c>
      <c r="AN73" t="s">
        <v>137</v>
      </c>
      <c r="AO73" t="str">
        <f t="shared" si="44"/>
        <v>Unpaid</v>
      </c>
      <c r="AP73">
        <f>IF(OR(MessyClinicPatients[[#This Row],[Clean Total Bill]]="",MessyClinicPatients[[#This Row],[Clean Amount Paid]]=""),"",MessyClinicPatients[[#This Row],[Clean Total Bill]]-MessyClinicPatients[[#This Row],[Clean Amount Paid]])</f>
        <v>288.28999999999996</v>
      </c>
      <c r="AQ73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73" t="s">
        <v>148</v>
      </c>
      <c r="AS73" t="str">
        <f t="shared" si="45"/>
        <v>Dr. Mensah</v>
      </c>
      <c r="AT73" t="s">
        <v>159</v>
      </c>
      <c r="AU73" t="str">
        <f t="shared" si="46"/>
        <v>Missing Lab Results</v>
      </c>
    </row>
    <row r="74" spans="1:47" ht="18" customHeight="1">
      <c r="A74" t="s">
        <v>510</v>
      </c>
      <c r="B74" t="str">
        <f t="shared" si="31"/>
        <v>P-0073</v>
      </c>
      <c r="C74" t="s">
        <v>511</v>
      </c>
      <c r="D74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Grace</v>
      </c>
      <c r="E74" t="s">
        <v>130</v>
      </c>
      <c r="F74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Mbeki</v>
      </c>
      <c r="G74" t="s">
        <v>24</v>
      </c>
      <c r="H74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74" t="s">
        <v>151</v>
      </c>
      <c r="J74" t="str">
        <f t="shared" si="32"/>
        <v>Male</v>
      </c>
      <c r="L74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N74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74" t="s">
        <v>512</v>
      </c>
      <c r="P74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grace.mbeki@email.com</v>
      </c>
      <c r="Q74" t="s">
        <v>222</v>
      </c>
      <c r="R74" t="str">
        <f t="shared" si="33"/>
        <v>Abuja</v>
      </c>
      <c r="S74" t="s">
        <v>92</v>
      </c>
      <c r="T74" s="8" t="str">
        <f>IF(S74="","",IF(ISNUMBER(S74),S74,IF(AND(LEN(S74)=10,MID(S74,5,1)="-"),IFERROR(DATE(VALUE(LEFT(S74,4)),VALUE(MID(S74,6,2)),VALUE(RIGHT(S74,2))),"Invalid Date"),IF(AND(LEN(S74)=10,MID(S74,3,1)="/"),IFERROR(DATE(VALUE(RIGHT(S74,4)),VALUE(MID(S74,4,2)),VALUE(LEFT(S74,2))),"Invalid Date"),IF(AND(LEN(S74)=10,MID(S74,5,1)="/"),"Invalid Date",IFERROR(DATE(VALUE(RIGHT(S74,4)),MATCH(LEFT(S74,3),{"Jan","Feb","Mar","Apr","May","Jun","Jul","Aug","Sep","Oct","Nov","Dec"},0),VALUE(MID(S74,5,FIND(",",S74)-5))),"Invalid Date"))))))</f>
        <v>Invalid Date</v>
      </c>
      <c r="V74" t="str">
        <f t="shared" si="34"/>
        <v/>
      </c>
      <c r="W74" t="s">
        <v>229</v>
      </c>
      <c r="X74" t="str">
        <f t="shared" si="35"/>
        <v>Flu</v>
      </c>
      <c r="Y74" t="s">
        <v>179</v>
      </c>
      <c r="Z74" t="str">
        <f t="shared" si="36"/>
        <v/>
      </c>
      <c r="AA74" t="str">
        <f t="shared" si="37"/>
        <v>Missing</v>
      </c>
      <c r="AB74" t="s">
        <v>513</v>
      </c>
      <c r="AC74" s="6">
        <f t="shared" si="38"/>
        <v>39.5</v>
      </c>
      <c r="AD74" s="6" t="str">
        <f t="shared" si="39"/>
        <v>Valid</v>
      </c>
      <c r="AE74" t="s">
        <v>204</v>
      </c>
      <c r="AF74" t="str">
        <f t="shared" si="40"/>
        <v/>
      </c>
      <c r="AG74" t="str">
        <f t="shared" si="41"/>
        <v>Missing</v>
      </c>
      <c r="AH74" t="s">
        <v>51</v>
      </c>
      <c r="AI74" t="str">
        <f t="shared" si="42"/>
        <v>Private</v>
      </c>
      <c r="AJ74" s="5" t="s">
        <v>514</v>
      </c>
      <c r="AK74">
        <f>IF(TRIM(AJ74)="","",IF(LOWER(TRIM(AJ74))="one hundred",100,IFERROR(IF(VALUE(SUBSTITUTE(UPPER(TRIM(AJ74)),"GHS",""))&lt;0,"",VALUE(SUBSTITUTE(UPPER(TRIM(AJ74)),"GHS",""))),"")))</f>
        <v>438.87</v>
      </c>
      <c r="AL74" t="s">
        <v>53</v>
      </c>
      <c r="AM74">
        <f t="shared" si="43"/>
        <v>0</v>
      </c>
      <c r="AN74" t="s">
        <v>68</v>
      </c>
      <c r="AO74" t="str">
        <f t="shared" si="44"/>
        <v>Paid</v>
      </c>
      <c r="AP74">
        <f>IF(OR(MessyClinicPatients[[#This Row],[Clean Total Bill]]="",MessyClinicPatients[[#This Row],[Clean Amount Paid]]=""),"",MessyClinicPatients[[#This Row],[Clean Total Bill]]-MessyClinicPatients[[#This Row],[Clean Amount Paid]])</f>
        <v>438.87</v>
      </c>
      <c r="AQ74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R74" t="s">
        <v>39</v>
      </c>
      <c r="AS74" t="str">
        <f t="shared" si="45"/>
        <v>Dr. Okoro</v>
      </c>
      <c r="AT74" t="s">
        <v>40</v>
      </c>
      <c r="AU74" t="str">
        <f t="shared" si="46"/>
        <v>Needs Follow-Up</v>
      </c>
    </row>
    <row r="75" spans="1:47" ht="18" customHeight="1">
      <c r="A75" t="s">
        <v>515</v>
      </c>
      <c r="B75" t="str">
        <f t="shared" si="31"/>
        <v>P-0074</v>
      </c>
      <c r="C75" t="s">
        <v>356</v>
      </c>
      <c r="D75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Linda</v>
      </c>
      <c r="E75" t="s">
        <v>43</v>
      </c>
      <c r="F75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Osei</v>
      </c>
      <c r="G75" s="9">
        <v>130</v>
      </c>
      <c r="H75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75" t="s">
        <v>234</v>
      </c>
      <c r="J75" t="str">
        <f t="shared" si="32"/>
        <v>Male</v>
      </c>
      <c r="L75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75" t="s">
        <v>61</v>
      </c>
      <c r="N75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Invalid Phone</v>
      </c>
      <c r="O75" t="s">
        <v>516</v>
      </c>
      <c r="P75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linda.osei@email.com</v>
      </c>
      <c r="Q75" t="s">
        <v>222</v>
      </c>
      <c r="R75" t="str">
        <f t="shared" si="33"/>
        <v>Abuja</v>
      </c>
      <c r="T75" s="8" t="str">
        <f>IF(S75="","",IF(ISNUMBER(S75),S75,IF(AND(LEN(S75)=10,MID(S75,5,1)="-"),IFERROR(DATE(VALUE(LEFT(S75,4)),VALUE(MID(S75,6,2)),VALUE(RIGHT(S75,2))),"Invalid Date"),IF(AND(LEN(S75)=10,MID(S75,3,1)="/"),IFERROR(DATE(VALUE(RIGHT(S75,4)),VALUE(MID(S75,4,2)),VALUE(LEFT(S75,2))),"Invalid Date"),IF(AND(LEN(S75)=10,MID(S75,5,1)="/"),"Invalid Date",IFERROR(DATE(VALUE(RIGHT(S75,4)),MATCH(LEFT(S75,3),{"Jan","Feb","Mar","Apr","May","Jun","Jul","Aug","Sep","Oct","Nov","Dec"},0),VALUE(MID(S75,5,FIND(",",S75)-5))),"Invalid Date"))))))</f>
        <v/>
      </c>
      <c r="U75" t="s">
        <v>296</v>
      </c>
      <c r="V75" t="str">
        <f t="shared" si="34"/>
        <v>Lab Test</v>
      </c>
      <c r="X75" t="str">
        <f t="shared" si="35"/>
        <v/>
      </c>
      <c r="Y75" t="s">
        <v>145</v>
      </c>
      <c r="Z75" t="str">
        <f t="shared" si="36"/>
        <v>120/80</v>
      </c>
      <c r="AA75" t="str">
        <f t="shared" si="37"/>
        <v>Valid</v>
      </c>
      <c r="AB75" t="s">
        <v>33</v>
      </c>
      <c r="AC75" s="6" t="str">
        <f t="shared" si="38"/>
        <v/>
      </c>
      <c r="AD75" s="6" t="str">
        <f t="shared" si="39"/>
        <v>Missing</v>
      </c>
      <c r="AE75" t="s">
        <v>517</v>
      </c>
      <c r="AF75">
        <f t="shared" si="40"/>
        <v>69.2</v>
      </c>
      <c r="AG75" t="str">
        <f t="shared" si="41"/>
        <v>Valid</v>
      </c>
      <c r="AH75" t="s">
        <v>176</v>
      </c>
      <c r="AI75" t="str">
        <f t="shared" si="42"/>
        <v/>
      </c>
      <c r="AJ75" s="5" t="s">
        <v>518</v>
      </c>
      <c r="AK75">
        <f>IF(TRIM(AJ75)="","",IF(LOWER(TRIM(AJ75))="one hundred",100,IFERROR(IF(VALUE(SUBSTITUTE(UPPER(TRIM(AJ75)),"GHS",""))&lt;0,"",VALUE(SUBSTITUTE(UPPER(TRIM(AJ75)),"GHS",""))),"")))</f>
        <v>239.97</v>
      </c>
      <c r="AL75" t="s">
        <v>518</v>
      </c>
      <c r="AM75">
        <f t="shared" si="43"/>
        <v>239.97</v>
      </c>
      <c r="AN75" t="s">
        <v>147</v>
      </c>
      <c r="AO75" t="str">
        <f t="shared" si="44"/>
        <v>Paid</v>
      </c>
      <c r="AP75">
        <f>IF(OR(MessyClinicPatients[[#This Row],[Clean Total Bill]]="",MessyClinicPatients[[#This Row],[Clean Amount Paid]]=""),"",MessyClinicPatients[[#This Row],[Clean Total Bill]]-MessyClinicPatients[[#This Row],[Clean Amount Paid]])</f>
        <v>0</v>
      </c>
      <c r="AQ75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75" t="s">
        <v>83</v>
      </c>
      <c r="AS75" t="str">
        <f t="shared" si="45"/>
        <v>Dr. Patel</v>
      </c>
      <c r="AT75" t="s">
        <v>97</v>
      </c>
      <c r="AU75" t="str">
        <f t="shared" si="46"/>
        <v>Patient Came Late</v>
      </c>
    </row>
    <row r="76" spans="1:47" ht="18" customHeight="1">
      <c r="A76" t="s">
        <v>519</v>
      </c>
      <c r="B76" t="str">
        <f t="shared" si="31"/>
        <v>P-0075</v>
      </c>
      <c r="C76" t="s">
        <v>139</v>
      </c>
      <c r="D76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Clara</v>
      </c>
      <c r="E76" t="s">
        <v>120</v>
      </c>
      <c r="F76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Taylor</v>
      </c>
      <c r="G76" s="9">
        <v>73</v>
      </c>
      <c r="H76" t="str">
        <f>IF(OR(MessyClinicPatients[[#This Row],[Age]]="",MessyClinicPatients[[#This Row],[Age]]="unknown"),"Missing",IF(OR(MessyClinicPatients[[#This Row],[Age]]&lt;0,MessyClinicPatients[[#This Row],[Age]]&gt;120),"Invalid Age","Valid"))</f>
        <v>Valid</v>
      </c>
      <c r="I76" t="s">
        <v>88</v>
      </c>
      <c r="J76" t="str">
        <f t="shared" si="32"/>
        <v>Female</v>
      </c>
      <c r="L76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76" t="s">
        <v>521</v>
      </c>
      <c r="N76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+233241164394</v>
      </c>
      <c r="O76" t="s">
        <v>522</v>
      </c>
      <c r="P76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Q76" t="s">
        <v>76</v>
      </c>
      <c r="R76" t="str">
        <f t="shared" si="33"/>
        <v>Cape Coast</v>
      </c>
      <c r="S76" t="s">
        <v>523</v>
      </c>
      <c r="T76" s="8">
        <f>IF(S76="","",IF(ISNUMBER(S76),S76,IF(AND(LEN(S76)=10,MID(S76,5,1)="-"),IFERROR(DATE(VALUE(LEFT(S76,4)),VALUE(MID(S76,6,2)),VALUE(RIGHT(S76,2))),"Invalid Date"),IF(AND(LEN(S76)=10,MID(S76,3,1)="/"),IFERROR(DATE(VALUE(RIGHT(S76,4)),VALUE(MID(S76,4,2)),VALUE(LEFT(S76,2))),"Invalid Date"),IF(AND(LEN(S76)=10,MID(S76,5,1)="/"),"Invalid Date",IFERROR(DATE(VALUE(RIGHT(S76,4)),MATCH(LEFT(S76,3),{"Jan","Feb","Mar","Apr","May","Jun","Jul","Aug","Sep","Oct","Nov","Dec"},0),VALUE(MID(S76,5,FIND(",",S76)-5))),"Invalid Date"))))))</f>
        <v>46167</v>
      </c>
      <c r="U76" t="s">
        <v>296</v>
      </c>
      <c r="V76" t="str">
        <f t="shared" si="34"/>
        <v>Lab Test</v>
      </c>
      <c r="X76" t="str">
        <f t="shared" si="35"/>
        <v/>
      </c>
      <c r="Y76" t="s">
        <v>145</v>
      </c>
      <c r="Z76" t="str">
        <f t="shared" si="36"/>
        <v>120/80</v>
      </c>
      <c r="AA76" t="str">
        <f t="shared" si="37"/>
        <v>Valid</v>
      </c>
      <c r="AB76" t="s">
        <v>524</v>
      </c>
      <c r="AC76" s="6">
        <f t="shared" si="38"/>
        <v>39.4</v>
      </c>
      <c r="AD76" s="6" t="str">
        <f t="shared" si="39"/>
        <v>Valid</v>
      </c>
      <c r="AE76" t="s">
        <v>80</v>
      </c>
      <c r="AF76">
        <f t="shared" si="40"/>
        <v>80</v>
      </c>
      <c r="AG76" t="str">
        <f t="shared" si="41"/>
        <v>Valid</v>
      </c>
      <c r="AH76" t="s">
        <v>93</v>
      </c>
      <c r="AI76" t="str">
        <f t="shared" si="42"/>
        <v>Private</v>
      </c>
      <c r="AJ76" s="5" t="s">
        <v>525</v>
      </c>
      <c r="AK76">
        <f>IF(TRIM(AJ76)="","",IF(LOWER(TRIM(AJ76))="one hundred",100,IFERROR(IF(VALUE(SUBSTITUTE(UPPER(TRIM(AJ76)),"GHS",""))&lt;0,"",VALUE(SUBSTITUTE(UPPER(TRIM(AJ76)),"GHS",""))),"")))</f>
        <v>348.68</v>
      </c>
      <c r="AL76" t="s">
        <v>116</v>
      </c>
      <c r="AM76" t="str">
        <f t="shared" si="43"/>
        <v/>
      </c>
      <c r="AN76" t="s">
        <v>117</v>
      </c>
      <c r="AO76" t="str">
        <f t="shared" si="44"/>
        <v>Refunded</v>
      </c>
      <c r="AP76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76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Refunded</v>
      </c>
      <c r="AS76" t="str">
        <f t="shared" si="45"/>
        <v/>
      </c>
      <c r="AU76" t="str">
        <f t="shared" si="46"/>
        <v/>
      </c>
    </row>
    <row r="77" spans="1:47" ht="18" customHeight="1">
      <c r="A77" t="s">
        <v>526</v>
      </c>
      <c r="B77" t="str">
        <f t="shared" si="31"/>
        <v>P-1076</v>
      </c>
      <c r="C77" t="s">
        <v>390</v>
      </c>
      <c r="D77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Nana</v>
      </c>
      <c r="E77" t="s">
        <v>260</v>
      </c>
      <c r="F77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Acheampong</v>
      </c>
      <c r="G77" t="s">
        <v>24</v>
      </c>
      <c r="H77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77" t="s">
        <v>88</v>
      </c>
      <c r="J77" t="str">
        <f t="shared" si="32"/>
        <v>Female</v>
      </c>
      <c r="L77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77" t="s">
        <v>527</v>
      </c>
      <c r="N77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0246969521</v>
      </c>
      <c r="O77" t="s">
        <v>528</v>
      </c>
      <c r="P77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nana_acheampong@clinicmail.org</v>
      </c>
      <c r="Q77" t="s">
        <v>91</v>
      </c>
      <c r="R77" t="str">
        <f t="shared" si="33"/>
        <v>Lagos</v>
      </c>
      <c r="S77" t="s">
        <v>166</v>
      </c>
      <c r="T77" s="8">
        <f>IF(S77="","",IF(ISNUMBER(S77),S77,IF(AND(LEN(S77)=10,MID(S77,5,1)="-"),IFERROR(DATE(VALUE(LEFT(S77,4)),VALUE(MID(S77,6,2)),VALUE(RIGHT(S77,2))),"Invalid Date"),IF(AND(LEN(S77)=10,MID(S77,3,1)="/"),IFERROR(DATE(VALUE(RIGHT(S77,4)),VALUE(MID(S77,4,2)),VALUE(LEFT(S77,2))),"Invalid Date"),IF(AND(LEN(S77)=10,MID(S77,5,1)="/"),"Invalid Date",IFERROR(DATE(VALUE(RIGHT(S77,4)),MATCH(LEFT(S77,3),{"Jan","Feb","Mar","Apr","May","Jun","Jul","Aug","Sep","Oct","Nov","Dec"},0),VALUE(MID(S77,5,FIND(",",S77)-5))),"Invalid Date"))))))</f>
        <v>46120</v>
      </c>
      <c r="U77" t="s">
        <v>144</v>
      </c>
      <c r="V77" t="str">
        <f t="shared" si="34"/>
        <v>Consultation</v>
      </c>
      <c r="W77" t="s">
        <v>229</v>
      </c>
      <c r="X77" t="str">
        <f t="shared" si="35"/>
        <v>Flu</v>
      </c>
      <c r="Y77" t="s">
        <v>145</v>
      </c>
      <c r="Z77" t="str">
        <f t="shared" si="36"/>
        <v>120/80</v>
      </c>
      <c r="AA77" t="str">
        <f t="shared" si="37"/>
        <v>Valid</v>
      </c>
      <c r="AC77" s="6" t="str">
        <f t="shared" si="38"/>
        <v/>
      </c>
      <c r="AD77" s="6" t="str">
        <f t="shared" si="39"/>
        <v>Missing</v>
      </c>
      <c r="AE77" t="s">
        <v>80</v>
      </c>
      <c r="AF77">
        <f t="shared" si="40"/>
        <v>80</v>
      </c>
      <c r="AG77" t="str">
        <f t="shared" si="41"/>
        <v>Valid</v>
      </c>
      <c r="AH77" t="s">
        <v>176</v>
      </c>
      <c r="AI77" t="str">
        <f t="shared" si="42"/>
        <v/>
      </c>
      <c r="AJ77" s="5" t="s">
        <v>529</v>
      </c>
      <c r="AK77">
        <f>IF(TRIM(AJ77)="","",IF(LOWER(TRIM(AJ77))="one hundred",100,IFERROR(IF(VALUE(SUBSTITUTE(UPPER(TRIM(AJ77)),"GHS",""))&lt;0,"",VALUE(SUBSTITUTE(UPPER(TRIM(AJ77)),"GHS",""))),"")))</f>
        <v>467.86</v>
      </c>
      <c r="AL77" t="s">
        <v>530</v>
      </c>
      <c r="AM77">
        <f t="shared" si="43"/>
        <v>138.19999999999999</v>
      </c>
      <c r="AN77" t="s">
        <v>38</v>
      </c>
      <c r="AO77" t="str">
        <f t="shared" si="44"/>
        <v>Partially Paid</v>
      </c>
      <c r="AP77">
        <f>IF(OR(MessyClinicPatients[[#This Row],[Clean Total Bill]]="",MessyClinicPatients[[#This Row],[Clean Amount Paid]]=""),"",MessyClinicPatients[[#This Row],[Clean Total Bill]]-MessyClinicPatients[[#This Row],[Clean Amount Paid]])</f>
        <v>329.66</v>
      </c>
      <c r="AQ77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77" t="s">
        <v>39</v>
      </c>
      <c r="AS77" t="str">
        <f t="shared" si="45"/>
        <v>Dr. Okoro</v>
      </c>
      <c r="AT77" t="s">
        <v>171</v>
      </c>
      <c r="AU77" t="str">
        <f t="shared" si="46"/>
        <v>Allergy: Penicillin</v>
      </c>
    </row>
    <row r="78" spans="1:47" ht="18" customHeight="1">
      <c r="A78" t="s">
        <v>531</v>
      </c>
      <c r="B78" t="str">
        <f t="shared" si="31"/>
        <v>P-1077</v>
      </c>
      <c r="C78" t="s">
        <v>99</v>
      </c>
      <c r="D78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Fatima</v>
      </c>
      <c r="E78" t="s">
        <v>140</v>
      </c>
      <c r="F78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Smith</v>
      </c>
      <c r="G78" s="9">
        <v>-3</v>
      </c>
      <c r="H78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78" t="s">
        <v>25</v>
      </c>
      <c r="J78" t="str">
        <f t="shared" si="32"/>
        <v>Other</v>
      </c>
      <c r="L78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78" t="s">
        <v>532</v>
      </c>
      <c r="N78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3051262468</v>
      </c>
      <c r="O78" t="s">
        <v>533</v>
      </c>
      <c r="P78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fatima.smith@email.com</v>
      </c>
      <c r="Q78" t="s">
        <v>110</v>
      </c>
      <c r="R78" t="str">
        <f t="shared" si="33"/>
        <v>Kumasi</v>
      </c>
      <c r="S78" t="s">
        <v>92</v>
      </c>
      <c r="T78" s="8" t="str">
        <f>IF(S78="","",IF(ISNUMBER(S78),S78,IF(AND(LEN(S78)=10,MID(S78,5,1)="-"),IFERROR(DATE(VALUE(LEFT(S78,4)),VALUE(MID(S78,6,2)),VALUE(RIGHT(S78,2))),"Invalid Date"),IF(AND(LEN(S78)=10,MID(S78,3,1)="/"),IFERROR(DATE(VALUE(RIGHT(S78,4)),VALUE(MID(S78,4,2)),VALUE(LEFT(S78,2))),"Invalid Date"),IF(AND(LEN(S78)=10,MID(S78,5,1)="/"),"Invalid Date",IFERROR(DATE(VALUE(RIGHT(S78,4)),MATCH(LEFT(S78,3),{"Jan","Feb","Mar","Apr","May","Jun","Jul","Aug","Sep","Oct","Nov","Dec"},0),VALUE(MID(S78,5,FIND(",",S78)-5))),"Invalid Date"))))))</f>
        <v>Invalid Date</v>
      </c>
      <c r="U78" t="s">
        <v>77</v>
      </c>
      <c r="V78" t="str">
        <f t="shared" si="34"/>
        <v>Emergency</v>
      </c>
      <c r="W78" t="s">
        <v>229</v>
      </c>
      <c r="X78" t="str">
        <f t="shared" si="35"/>
        <v>Flu</v>
      </c>
      <c r="Y78" t="s">
        <v>534</v>
      </c>
      <c r="Z78" t="str">
        <f t="shared" si="36"/>
        <v>132/86</v>
      </c>
      <c r="AA78" t="str">
        <f t="shared" si="37"/>
        <v>Valid</v>
      </c>
      <c r="AC78" s="6" t="str">
        <f t="shared" si="38"/>
        <v/>
      </c>
      <c r="AD78" s="6" t="str">
        <f t="shared" si="39"/>
        <v>Missing</v>
      </c>
      <c r="AF78" t="str">
        <f t="shared" si="40"/>
        <v/>
      </c>
      <c r="AG78" t="str">
        <f t="shared" si="41"/>
        <v>Missing</v>
      </c>
      <c r="AH78" t="s">
        <v>114</v>
      </c>
      <c r="AI78" t="str">
        <f t="shared" si="42"/>
        <v>NHIS</v>
      </c>
      <c r="AJ78" s="5" t="s">
        <v>535</v>
      </c>
      <c r="AK78">
        <f>IF(TRIM(AJ78)="","",IF(LOWER(TRIM(AJ78))="one hundred",100,IFERROR(IF(VALUE(SUBSTITUTE(UPPER(TRIM(AJ78)),"GHS",""))&lt;0,"",VALUE(SUBSTITUTE(UPPER(TRIM(AJ78)),"GHS",""))),"")))</f>
        <v>474.97</v>
      </c>
      <c r="AL78" t="s">
        <v>535</v>
      </c>
      <c r="AM78">
        <f t="shared" si="43"/>
        <v>474.97</v>
      </c>
      <c r="AN78" t="s">
        <v>137</v>
      </c>
      <c r="AO78" t="str">
        <f t="shared" si="44"/>
        <v>Unpaid</v>
      </c>
      <c r="AP78">
        <f>IF(OR(MessyClinicPatients[[#This Row],[Clean Total Bill]]="",MessyClinicPatients[[#This Row],[Clean Amount Paid]]=""),"",MessyClinicPatients[[#This Row],[Clean Total Bill]]-MessyClinicPatients[[#This Row],[Clean Amount Paid]])</f>
        <v>0</v>
      </c>
      <c r="AQ78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78" t="s">
        <v>39</v>
      </c>
      <c r="AS78" t="str">
        <f t="shared" si="45"/>
        <v>Dr. Okoro</v>
      </c>
      <c r="AT78" t="s">
        <v>159</v>
      </c>
      <c r="AU78" t="str">
        <f t="shared" si="46"/>
        <v>Missing Lab Results</v>
      </c>
    </row>
    <row r="79" spans="1:47" ht="18" customHeight="1">
      <c r="A79" t="s">
        <v>536</v>
      </c>
      <c r="B79" t="str">
        <f t="shared" si="31"/>
        <v>P-0078</v>
      </c>
      <c r="C79" t="s">
        <v>173</v>
      </c>
      <c r="D79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Chinedu</v>
      </c>
      <c r="E79" t="s">
        <v>219</v>
      </c>
      <c r="F79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Yakubu</v>
      </c>
      <c r="G79" s="9">
        <v>-3</v>
      </c>
      <c r="H79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79" t="s">
        <v>151</v>
      </c>
      <c r="J79" t="str">
        <f t="shared" si="32"/>
        <v>Male</v>
      </c>
      <c r="L79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N79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79" t="s">
        <v>537</v>
      </c>
      <c r="P79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Q79" t="s">
        <v>289</v>
      </c>
      <c r="R79" t="str">
        <f t="shared" si="33"/>
        <v>Enugu</v>
      </c>
      <c r="S79" t="s">
        <v>538</v>
      </c>
      <c r="T79" s="8">
        <f>IF(S79="","",IF(ISNUMBER(S79),S79,IF(AND(LEN(S79)=10,MID(S79,5,1)="-"),IFERROR(DATE(VALUE(LEFT(S79,4)),VALUE(MID(S79,6,2)),VALUE(RIGHT(S79,2))),"Invalid Date"),IF(AND(LEN(S79)=10,MID(S79,3,1)="/"),IFERROR(DATE(VALUE(RIGHT(S79,4)),VALUE(MID(S79,4,2)),VALUE(LEFT(S79,2))),"Invalid Date"),IF(AND(LEN(S79)=10,MID(S79,5,1)="/"),"Invalid Date",IFERROR(DATE(VALUE(RIGHT(S79,4)),MATCH(LEFT(S79,3),{"Jan","Feb","Mar","Apr","May","Jun","Jul","Aug","Sep","Oct","Nov","Dec"},0),VALUE(MID(S79,5,FIND(",",S79)-5))),"Invalid Date"))))))</f>
        <v>46140</v>
      </c>
      <c r="U79" t="s">
        <v>102</v>
      </c>
      <c r="V79" t="str">
        <f t="shared" si="34"/>
        <v>Consultation</v>
      </c>
      <c r="W79" t="s">
        <v>31</v>
      </c>
      <c r="X79" t="str">
        <f t="shared" si="35"/>
        <v>Malaria</v>
      </c>
      <c r="Z79" t="str">
        <f t="shared" si="36"/>
        <v/>
      </c>
      <c r="AA79" t="str">
        <f t="shared" si="37"/>
        <v>Missing</v>
      </c>
      <c r="AC79" s="6" t="str">
        <f t="shared" si="38"/>
        <v/>
      </c>
      <c r="AD79" s="6" t="str">
        <f t="shared" si="39"/>
        <v>Missing</v>
      </c>
      <c r="AE79" t="s">
        <v>204</v>
      </c>
      <c r="AF79" t="str">
        <f t="shared" si="40"/>
        <v/>
      </c>
      <c r="AG79" t="str">
        <f t="shared" si="41"/>
        <v>Missing</v>
      </c>
      <c r="AI79" t="str">
        <f t="shared" si="42"/>
        <v/>
      </c>
      <c r="AJ79" s="5" t="s">
        <v>539</v>
      </c>
      <c r="AK79">
        <f>IF(TRIM(AJ79)="","",IF(LOWER(TRIM(AJ79))="one hundred",100,IFERROR(IF(VALUE(SUBSTITUTE(UPPER(TRIM(AJ79)),"GHS",""))&lt;0,"",VALUE(SUBSTITUTE(UPPER(TRIM(AJ79)),"GHS",""))),"")))</f>
        <v>98.58</v>
      </c>
      <c r="AM79" t="str">
        <f t="shared" si="43"/>
        <v/>
      </c>
      <c r="AN79" t="s">
        <v>38</v>
      </c>
      <c r="AO79" t="str">
        <f t="shared" si="44"/>
        <v>Partially Paid</v>
      </c>
      <c r="AP79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79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79" t="s">
        <v>211</v>
      </c>
      <c r="AS79" t="str">
        <f t="shared" si="45"/>
        <v>Nurse Ama</v>
      </c>
      <c r="AT79" t="s">
        <v>159</v>
      </c>
      <c r="AU79" t="str">
        <f t="shared" si="46"/>
        <v>Missing Lab Results</v>
      </c>
    </row>
    <row r="80" spans="1:47" ht="18" customHeight="1">
      <c r="A80" t="s">
        <v>540</v>
      </c>
      <c r="B80" t="str">
        <f t="shared" si="31"/>
        <v>P-0079</v>
      </c>
      <c r="C80" t="s">
        <v>541</v>
      </c>
      <c r="D80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Hannah</v>
      </c>
      <c r="E80" t="s">
        <v>162</v>
      </c>
      <c r="F80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Johnson</v>
      </c>
      <c r="G80" s="9">
        <v>-3</v>
      </c>
      <c r="H80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80" t="s">
        <v>74</v>
      </c>
      <c r="J80" t="str">
        <f t="shared" si="32"/>
        <v>Female</v>
      </c>
      <c r="L80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N80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80" t="s">
        <v>542</v>
      </c>
      <c r="P80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Q80" t="s">
        <v>222</v>
      </c>
      <c r="R80" t="str">
        <f t="shared" si="33"/>
        <v>Abuja</v>
      </c>
      <c r="S80" t="s">
        <v>543</v>
      </c>
      <c r="T80" s="8">
        <f>IF(S80="","",IF(ISNUMBER(S80),S80,IF(AND(LEN(S80)=10,MID(S80,5,1)="-"),IFERROR(DATE(VALUE(LEFT(S80,4)),VALUE(MID(S80,6,2)),VALUE(RIGHT(S80,2))),"Invalid Date"),IF(AND(LEN(S80)=10,MID(S80,3,1)="/"),IFERROR(DATE(VALUE(RIGHT(S80,4)),VALUE(MID(S80,4,2)),VALUE(LEFT(S80,2))),"Invalid Date"),IF(AND(LEN(S80)=10,MID(S80,5,1)="/"),"Invalid Date",IFERROR(DATE(VALUE(RIGHT(S80,4)),MATCH(LEFT(S80,3),{"Jan","Feb","Mar","Apr","May","Jun","Jul","Aug","Sep","Oct","Nov","Dec"},0),VALUE(MID(S80,5,FIND(",",S80)-5))),"Invalid Date"))))))</f>
        <v>46163</v>
      </c>
      <c r="U80" t="s">
        <v>30</v>
      </c>
      <c r="V80" t="str">
        <f t="shared" si="34"/>
        <v>Vaccination</v>
      </c>
      <c r="W80" t="s">
        <v>49</v>
      </c>
      <c r="X80" t="str">
        <f t="shared" si="35"/>
        <v>None</v>
      </c>
      <c r="Z80" t="str">
        <f t="shared" si="36"/>
        <v/>
      </c>
      <c r="AA80" t="str">
        <f t="shared" si="37"/>
        <v>Missing</v>
      </c>
      <c r="AB80" t="s">
        <v>544</v>
      </c>
      <c r="AC80" s="6">
        <f t="shared" si="38"/>
        <v>35.333333333333336</v>
      </c>
      <c r="AD80" s="6" t="str">
        <f t="shared" si="39"/>
        <v>Fahrenheit Converted</v>
      </c>
      <c r="AF80" t="str">
        <f t="shared" si="40"/>
        <v/>
      </c>
      <c r="AG80" t="str">
        <f t="shared" si="41"/>
        <v>Missing</v>
      </c>
      <c r="AH80" t="s">
        <v>49</v>
      </c>
      <c r="AI80" t="str">
        <f t="shared" si="42"/>
        <v>None</v>
      </c>
      <c r="AJ80" s="5" t="s">
        <v>545</v>
      </c>
      <c r="AK80">
        <f>IF(TRIM(AJ80)="","",IF(LOWER(TRIM(AJ80))="one hundred",100,IFERROR(IF(VALUE(SUBSTITUTE(UPPER(TRIM(AJ80)),"GHS",""))&lt;0,"",VALUE(SUBSTITUTE(UPPER(TRIM(AJ80)),"GHS",""))),"")))</f>
        <v>572.74</v>
      </c>
      <c r="AL80" t="s">
        <v>116</v>
      </c>
      <c r="AM80" t="str">
        <f t="shared" si="43"/>
        <v/>
      </c>
      <c r="AN80" t="s">
        <v>117</v>
      </c>
      <c r="AO80" t="str">
        <f t="shared" si="44"/>
        <v>Refunded</v>
      </c>
      <c r="AP80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80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Refunded</v>
      </c>
      <c r="AS80" t="str">
        <f t="shared" si="45"/>
        <v/>
      </c>
      <c r="AT80" t="s">
        <v>159</v>
      </c>
      <c r="AU80" t="str">
        <f t="shared" si="46"/>
        <v>Missing Lab Results</v>
      </c>
    </row>
    <row r="81" spans="1:47" ht="18" customHeight="1">
      <c r="B81" t="str">
        <f t="shared" si="31"/>
        <v/>
      </c>
      <c r="C81" t="s">
        <v>42</v>
      </c>
      <c r="D81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Mary</v>
      </c>
      <c r="E81" t="s">
        <v>282</v>
      </c>
      <c r="F81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Cole</v>
      </c>
      <c r="G81" s="9">
        <v>-3</v>
      </c>
      <c r="H81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81" t="s">
        <v>88</v>
      </c>
      <c r="J81" t="str">
        <f t="shared" si="32"/>
        <v>Female</v>
      </c>
      <c r="L81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81" t="s">
        <v>546</v>
      </c>
      <c r="N81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+233245109755</v>
      </c>
      <c r="O81" t="s">
        <v>547</v>
      </c>
      <c r="P81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mary_cole@clinicmail.org</v>
      </c>
      <c r="Q81" t="s">
        <v>101</v>
      </c>
      <c r="R81" t="str">
        <f t="shared" si="33"/>
        <v>Accra</v>
      </c>
      <c r="S81" t="s">
        <v>548</v>
      </c>
      <c r="T81" s="8">
        <f>IF(S81="","",IF(ISNUMBER(S81),S81,IF(AND(LEN(S81)=10,MID(S81,5,1)="-"),IFERROR(DATE(VALUE(LEFT(S81,4)),VALUE(MID(S81,6,2)),VALUE(RIGHT(S81,2))),"Invalid Date"),IF(AND(LEN(S81)=10,MID(S81,3,1)="/"),IFERROR(DATE(VALUE(RIGHT(S81,4)),VALUE(MID(S81,4,2)),VALUE(LEFT(S81,2))),"Invalid Date"),IF(AND(LEN(S81)=10,MID(S81,5,1)="/"),"Invalid Date",IFERROR(DATE(VALUE(RIGHT(S81,4)),MATCH(LEFT(S81,3),{"Jan","Feb","Mar","Apr","May","Jun","Jul","Aug","Sep","Oct","Nov","Dec"},0),VALUE(MID(S81,5,FIND(",",S81)-5))),"Invalid Date"))))))</f>
        <v>46175</v>
      </c>
      <c r="U81" t="s">
        <v>134</v>
      </c>
      <c r="V81" t="str">
        <f t="shared" si="34"/>
        <v>Follow-up</v>
      </c>
      <c r="W81" t="s">
        <v>229</v>
      </c>
      <c r="X81" t="str">
        <f t="shared" si="35"/>
        <v>Flu</v>
      </c>
      <c r="Y81" t="s">
        <v>549</v>
      </c>
      <c r="Z81" t="str">
        <f t="shared" si="36"/>
        <v/>
      </c>
      <c r="AA81" t="str">
        <f t="shared" si="37"/>
        <v>Missing</v>
      </c>
      <c r="AB81" t="s">
        <v>466</v>
      </c>
      <c r="AC81" s="6">
        <f t="shared" si="38"/>
        <v>39.944444444444443</v>
      </c>
      <c r="AD81" s="6" t="str">
        <f t="shared" si="39"/>
        <v>Fahrenheit Converted</v>
      </c>
      <c r="AE81" t="s">
        <v>80</v>
      </c>
      <c r="AF81">
        <f t="shared" si="40"/>
        <v>80</v>
      </c>
      <c r="AG81" t="str">
        <f t="shared" si="41"/>
        <v>Valid</v>
      </c>
      <c r="AH81" t="s">
        <v>35</v>
      </c>
      <c r="AI81" t="str">
        <f t="shared" si="42"/>
        <v>Corporate</v>
      </c>
      <c r="AJ81" s="5" t="s">
        <v>550</v>
      </c>
      <c r="AK81">
        <f>IF(TRIM(AJ81)="","",IF(LOWER(TRIM(AJ81))="one hundred",100,IFERROR(IF(VALUE(SUBSTITUTE(UPPER(TRIM(AJ81)),"GHS",""))&lt;0,"",VALUE(SUBSTITUTE(UPPER(TRIM(AJ81)),"GHS",""))),"")))</f>
        <v>83.43</v>
      </c>
      <c r="AL81" t="s">
        <v>116</v>
      </c>
      <c r="AM81" t="str">
        <f t="shared" si="43"/>
        <v/>
      </c>
      <c r="AN81" t="s">
        <v>95</v>
      </c>
      <c r="AO81" t="str">
        <f t="shared" si="44"/>
        <v>Pending</v>
      </c>
      <c r="AP81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81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Pending</v>
      </c>
      <c r="AR81" t="s">
        <v>54</v>
      </c>
      <c r="AS81" t="str">
        <f t="shared" si="45"/>
        <v>Dr. Lee</v>
      </c>
      <c r="AT81" t="s">
        <v>274</v>
      </c>
      <c r="AU81" t="str">
        <f t="shared" si="46"/>
        <v>Repeated Record?</v>
      </c>
    </row>
    <row r="82" spans="1:47" ht="18" customHeight="1">
      <c r="B82" t="str">
        <f t="shared" si="31"/>
        <v/>
      </c>
      <c r="C82" t="s">
        <v>119</v>
      </c>
      <c r="D82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Peter</v>
      </c>
      <c r="E82" t="s">
        <v>313</v>
      </c>
      <c r="F82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Abiola</v>
      </c>
      <c r="G82" s="9">
        <v>-3</v>
      </c>
      <c r="H82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82" t="s">
        <v>88</v>
      </c>
      <c r="J82" t="str">
        <f t="shared" si="32"/>
        <v>Female</v>
      </c>
      <c r="L82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82" t="s">
        <v>551</v>
      </c>
      <c r="N82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+233248079199</v>
      </c>
      <c r="O82" t="s">
        <v>27</v>
      </c>
      <c r="P82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82" t="s">
        <v>46</v>
      </c>
      <c r="R82" t="str">
        <f t="shared" si="33"/>
        <v>Tema</v>
      </c>
      <c r="S82" t="s">
        <v>552</v>
      </c>
      <c r="T82" s="8">
        <f>IF(S82="","",IF(ISNUMBER(S82),S82,IF(AND(LEN(S82)=10,MID(S82,5,1)="-"),IFERROR(DATE(VALUE(LEFT(S82,4)),VALUE(MID(S82,6,2)),VALUE(RIGHT(S82,2))),"Invalid Date"),IF(AND(LEN(S82)=10,MID(S82,3,1)="/"),IFERROR(DATE(VALUE(RIGHT(S82,4)),VALUE(MID(S82,4,2)),VALUE(LEFT(S82,2))),"Invalid Date"),IF(AND(LEN(S82)=10,MID(S82,5,1)="/"),"Invalid Date",IFERROR(DATE(VALUE(RIGHT(S82,4)),MATCH(LEFT(S82,3),{"Jan","Feb","Mar","Apr","May","Jun","Jul","Aug","Sep","Oct","Nov","Dec"},0),VALUE(MID(S82,5,FIND(",",S82)-5))),"Invalid Date"))))))</f>
        <v>46044</v>
      </c>
      <c r="U82" t="s">
        <v>144</v>
      </c>
      <c r="V82" t="str">
        <f t="shared" si="34"/>
        <v>Consultation</v>
      </c>
      <c r="W82" t="s">
        <v>224</v>
      </c>
      <c r="X82" t="str">
        <f t="shared" si="35"/>
        <v>Diabetes</v>
      </c>
      <c r="Y82" t="s">
        <v>145</v>
      </c>
      <c r="Z82" t="str">
        <f t="shared" si="36"/>
        <v>120/80</v>
      </c>
      <c r="AA82" t="str">
        <f t="shared" si="37"/>
        <v>Valid</v>
      </c>
      <c r="AB82" t="s">
        <v>553</v>
      </c>
      <c r="AC82" s="6">
        <f t="shared" si="38"/>
        <v>38</v>
      </c>
      <c r="AD82" s="6" t="str">
        <f t="shared" si="39"/>
        <v>Valid</v>
      </c>
      <c r="AE82" t="s">
        <v>238</v>
      </c>
      <c r="AF82" t="str">
        <f t="shared" si="40"/>
        <v/>
      </c>
      <c r="AG82" t="str">
        <f t="shared" si="41"/>
        <v>Missing</v>
      </c>
      <c r="AH82" t="s">
        <v>93</v>
      </c>
      <c r="AI82" t="str">
        <f t="shared" si="42"/>
        <v>Private</v>
      </c>
      <c r="AJ82" s="5" t="s">
        <v>554</v>
      </c>
      <c r="AK82">
        <f>IF(TRIM(AJ82)="","",IF(LOWER(TRIM(AJ82))="one hundred",100,IFERROR(IF(VALUE(SUBSTITUTE(UPPER(TRIM(AJ82)),"GHS",""))&lt;0,"",VALUE(SUBSTITUTE(UPPER(TRIM(AJ82)),"GHS",""))),"")))</f>
        <v>502.16</v>
      </c>
      <c r="AL82" t="s">
        <v>53</v>
      </c>
      <c r="AM82">
        <f t="shared" si="43"/>
        <v>0</v>
      </c>
      <c r="AN82" t="s">
        <v>38</v>
      </c>
      <c r="AO82" t="str">
        <f t="shared" si="44"/>
        <v>Partially Paid</v>
      </c>
      <c r="AP82">
        <f>IF(OR(MessyClinicPatients[[#This Row],[Clean Total Bill]]="",MessyClinicPatients[[#This Row],[Clean Amount Paid]]=""),"",MessyClinicPatients[[#This Row],[Clean Total Bill]]-MessyClinicPatients[[#This Row],[Clean Amount Paid]])</f>
        <v>502.16</v>
      </c>
      <c r="AQ82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R82" t="s">
        <v>39</v>
      </c>
      <c r="AS82" t="str">
        <f t="shared" si="45"/>
        <v>Dr. Okoro</v>
      </c>
      <c r="AT82" t="s">
        <v>171</v>
      </c>
      <c r="AU82" t="str">
        <f t="shared" si="46"/>
        <v>Allergy: Penicillin</v>
      </c>
    </row>
    <row r="83" spans="1:47" ht="18" customHeight="1">
      <c r="A83" t="s">
        <v>555</v>
      </c>
      <c r="B83" t="str">
        <f t="shared" si="31"/>
        <v>P-0082</v>
      </c>
      <c r="C83" t="s">
        <v>56</v>
      </c>
      <c r="D83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Ibrahim</v>
      </c>
      <c r="E83" t="s">
        <v>475</v>
      </c>
      <c r="F83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Ndlovu</v>
      </c>
      <c r="G83" s="9">
        <v>130</v>
      </c>
      <c r="H83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83" t="s">
        <v>88</v>
      </c>
      <c r="J83" t="str">
        <f t="shared" si="32"/>
        <v>Female</v>
      </c>
      <c r="L83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83" t="s">
        <v>556</v>
      </c>
      <c r="N83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0246553084</v>
      </c>
      <c r="O83" t="s">
        <v>557</v>
      </c>
      <c r="P83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Q83" t="s">
        <v>63</v>
      </c>
      <c r="R83" t="str">
        <f t="shared" si="33"/>
        <v>Tamale</v>
      </c>
      <c r="T83" s="8" t="str">
        <f>IF(S83="","",IF(ISNUMBER(S83),S83,IF(AND(LEN(S83)=10,MID(S83,5,1)="-"),IFERROR(DATE(VALUE(LEFT(S83,4)),VALUE(MID(S83,6,2)),VALUE(RIGHT(S83,2))),"Invalid Date"),IF(AND(LEN(S83)=10,MID(S83,3,1)="/"),IFERROR(DATE(VALUE(RIGHT(S83,4)),VALUE(MID(S83,4,2)),VALUE(LEFT(S83,2))),"Invalid Date"),IF(AND(LEN(S83)=10,MID(S83,5,1)="/"),"Invalid Date",IFERROR(DATE(VALUE(RIGHT(S83,4)),MATCH(LEFT(S83,3),{"Jan","Feb","Mar","Apr","May","Jun","Jul","Aug","Sep","Oct","Nov","Dec"},0),VALUE(MID(S83,5,FIND(",",S83)-5))),"Invalid Date"))))))</f>
        <v/>
      </c>
      <c r="U83" t="s">
        <v>77</v>
      </c>
      <c r="V83" t="str">
        <f t="shared" si="34"/>
        <v>Emergency</v>
      </c>
      <c r="W83" t="s">
        <v>155</v>
      </c>
      <c r="X83" t="str">
        <f t="shared" si="35"/>
        <v>Migraine</v>
      </c>
      <c r="Y83" t="s">
        <v>179</v>
      </c>
      <c r="Z83" t="str">
        <f t="shared" si="36"/>
        <v/>
      </c>
      <c r="AA83" t="str">
        <f t="shared" si="37"/>
        <v>Missing</v>
      </c>
      <c r="AB83" t="s">
        <v>33</v>
      </c>
      <c r="AC83" s="6" t="str">
        <f t="shared" si="38"/>
        <v/>
      </c>
      <c r="AD83" s="6" t="str">
        <f t="shared" si="39"/>
        <v>Missing</v>
      </c>
      <c r="AE83" t="s">
        <v>558</v>
      </c>
      <c r="AF83">
        <f t="shared" si="40"/>
        <v>91</v>
      </c>
      <c r="AG83" t="str">
        <f t="shared" si="41"/>
        <v>Valid</v>
      </c>
      <c r="AH83" t="s">
        <v>51</v>
      </c>
      <c r="AI83" t="str">
        <f t="shared" si="42"/>
        <v>Private</v>
      </c>
      <c r="AJ83" s="5" t="s">
        <v>559</v>
      </c>
      <c r="AK83">
        <f>IF(TRIM(AJ83)="","",IF(LOWER(TRIM(AJ83))="one hundred",100,IFERROR(IF(VALUE(SUBSTITUTE(UPPER(TRIM(AJ83)),"GHS",""))&lt;0,"",VALUE(SUBSTITUTE(UPPER(TRIM(AJ83)),"GHS",""))),"")))</f>
        <v>249.44</v>
      </c>
      <c r="AL83" t="s">
        <v>560</v>
      </c>
      <c r="AM83">
        <f t="shared" si="43"/>
        <v>183.93</v>
      </c>
      <c r="AN83" t="s">
        <v>147</v>
      </c>
      <c r="AO83" t="str">
        <f t="shared" si="44"/>
        <v>Paid</v>
      </c>
      <c r="AP83">
        <f>IF(OR(MessyClinicPatients[[#This Row],[Clean Total Bill]]="",MessyClinicPatients[[#This Row],[Clean Amount Paid]]=""),"",MessyClinicPatients[[#This Row],[Clean Total Bill]]-MessyClinicPatients[[#This Row],[Clean Amount Paid]])</f>
        <v>65.509999999999991</v>
      </c>
      <c r="AQ83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83" t="s">
        <v>83</v>
      </c>
      <c r="AS83" t="str">
        <f t="shared" si="45"/>
        <v>Dr. Patel</v>
      </c>
      <c r="AT83" t="s">
        <v>97</v>
      </c>
      <c r="AU83" t="str">
        <f t="shared" si="46"/>
        <v>Patient Came Late</v>
      </c>
    </row>
    <row r="84" spans="1:47" ht="18" customHeight="1">
      <c r="B84" t="str">
        <f t="shared" si="31"/>
        <v/>
      </c>
      <c r="C84" t="s">
        <v>56</v>
      </c>
      <c r="D84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Ibrahim</v>
      </c>
      <c r="E84" t="s">
        <v>242</v>
      </c>
      <c r="F84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Bello</v>
      </c>
      <c r="G84" t="s">
        <v>24</v>
      </c>
      <c r="H84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84" t="s">
        <v>25</v>
      </c>
      <c r="J84" t="str">
        <f t="shared" si="32"/>
        <v>Other</v>
      </c>
      <c r="L84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N84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P84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84" t="s">
        <v>76</v>
      </c>
      <c r="R84" t="str">
        <f t="shared" si="33"/>
        <v>Cape Coast</v>
      </c>
      <c r="S84" t="s">
        <v>92</v>
      </c>
      <c r="T84" s="8" t="str">
        <f>IF(S84="","",IF(ISNUMBER(S84),S84,IF(AND(LEN(S84)=10,MID(S84,5,1)="-"),IFERROR(DATE(VALUE(LEFT(S84,4)),VALUE(MID(S84,6,2)),VALUE(RIGHT(S84,2))),"Invalid Date"),IF(AND(LEN(S84)=10,MID(S84,3,1)="/"),IFERROR(DATE(VALUE(RIGHT(S84,4)),VALUE(MID(S84,4,2)),VALUE(LEFT(S84,2))),"Invalid Date"),IF(AND(LEN(S84)=10,MID(S84,5,1)="/"),"Invalid Date",IFERROR(DATE(VALUE(RIGHT(S84,4)),MATCH(LEFT(S84,3),{"Jan","Feb","Mar","Apr","May","Jun","Jul","Aug","Sep","Oct","Nov","Dec"},0),VALUE(MID(S84,5,FIND(",",S84)-5))),"Invalid Date"))))))</f>
        <v>Invalid Date</v>
      </c>
      <c r="U84" t="s">
        <v>77</v>
      </c>
      <c r="V84" t="str">
        <f t="shared" si="34"/>
        <v>Emergency</v>
      </c>
      <c r="W84" t="s">
        <v>78</v>
      </c>
      <c r="X84" t="str">
        <f t="shared" si="35"/>
        <v>Back Pain</v>
      </c>
      <c r="Y84" t="s">
        <v>145</v>
      </c>
      <c r="Z84" t="str">
        <f t="shared" si="36"/>
        <v>120/80</v>
      </c>
      <c r="AA84" t="str">
        <f t="shared" si="37"/>
        <v>Valid</v>
      </c>
      <c r="AB84" t="s">
        <v>291</v>
      </c>
      <c r="AC84" s="6">
        <f t="shared" si="38"/>
        <v>35.722222222222221</v>
      </c>
      <c r="AD84" s="6" t="str">
        <f t="shared" si="39"/>
        <v>Fahrenheit Converted</v>
      </c>
      <c r="AF84" t="str">
        <f t="shared" si="40"/>
        <v/>
      </c>
      <c r="AG84" t="str">
        <f t="shared" si="41"/>
        <v>Missing</v>
      </c>
      <c r="AH84" t="s">
        <v>49</v>
      </c>
      <c r="AI84" t="str">
        <f t="shared" si="42"/>
        <v>None</v>
      </c>
      <c r="AJ84" s="5" t="s">
        <v>561</v>
      </c>
      <c r="AK84">
        <f>IF(TRIM(AJ84)="","",IF(LOWER(TRIM(AJ84))="one hundred",100,IFERROR(IF(VALUE(SUBSTITUTE(UPPER(TRIM(AJ84)),"GHS",""))&lt;0,"",VALUE(SUBSTITUTE(UPPER(TRIM(AJ84)),"GHS",""))),"")))</f>
        <v>69.16</v>
      </c>
      <c r="AL84" t="s">
        <v>561</v>
      </c>
      <c r="AM84">
        <f t="shared" si="43"/>
        <v>69.16</v>
      </c>
      <c r="AN84" t="s">
        <v>68</v>
      </c>
      <c r="AO84" t="str">
        <f t="shared" si="44"/>
        <v>Paid</v>
      </c>
      <c r="AP84">
        <f>IF(OR(MessyClinicPatients[[#This Row],[Clean Total Bill]]="",MessyClinicPatients[[#This Row],[Clean Amount Paid]]=""),"",MessyClinicPatients[[#This Row],[Clean Total Bill]]-MessyClinicPatients[[#This Row],[Clean Amount Paid]])</f>
        <v>0</v>
      </c>
      <c r="AQ84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84" t="s">
        <v>83</v>
      </c>
      <c r="AS84" t="str">
        <f t="shared" si="45"/>
        <v>Dr. Patel</v>
      </c>
      <c r="AT84" t="s">
        <v>97</v>
      </c>
      <c r="AU84" t="str">
        <f t="shared" si="46"/>
        <v>Patient Came Late</v>
      </c>
    </row>
    <row r="85" spans="1:47" ht="18" customHeight="1">
      <c r="B85" t="str">
        <f t="shared" si="31"/>
        <v/>
      </c>
      <c r="C85" t="s">
        <v>99</v>
      </c>
      <c r="D85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Fatima</v>
      </c>
      <c r="E85" t="s">
        <v>475</v>
      </c>
      <c r="F85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Ndlovu</v>
      </c>
      <c r="G85" s="9">
        <v>-3</v>
      </c>
      <c r="H85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85" t="s">
        <v>74</v>
      </c>
      <c r="J85" t="str">
        <f t="shared" si="32"/>
        <v>Female</v>
      </c>
      <c r="L85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85" t="s">
        <v>176</v>
      </c>
      <c r="N85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85" t="s">
        <v>562</v>
      </c>
      <c r="P85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fatima_ndlovu@clinicmail.org</v>
      </c>
      <c r="Q85" t="s">
        <v>110</v>
      </c>
      <c r="R85" t="str">
        <f t="shared" si="33"/>
        <v>Kumasi</v>
      </c>
      <c r="T85" s="8" t="str">
        <f>IF(S85="","",IF(ISNUMBER(S85),S85,IF(AND(LEN(S85)=10,MID(S85,5,1)="-"),IFERROR(DATE(VALUE(LEFT(S85,4)),VALUE(MID(S85,6,2)),VALUE(RIGHT(S85,2))),"Invalid Date"),IF(AND(LEN(S85)=10,MID(S85,3,1)="/"),IFERROR(DATE(VALUE(RIGHT(S85,4)),VALUE(MID(S85,4,2)),VALUE(LEFT(S85,2))),"Invalid Date"),IF(AND(LEN(S85)=10,MID(S85,5,1)="/"),"Invalid Date",IFERROR(DATE(VALUE(RIGHT(S85,4)),MATCH(LEFT(S85,3),{"Jan","Feb","Mar","Apr","May","Jun","Jul","Aug","Sep","Oct","Nov","Dec"},0),VALUE(MID(S85,5,FIND(",",S85)-5))),"Invalid Date"))))))</f>
        <v/>
      </c>
      <c r="U85" t="s">
        <v>48</v>
      </c>
      <c r="V85" t="str">
        <f t="shared" si="34"/>
        <v>Routine Checkup</v>
      </c>
      <c r="W85" t="s">
        <v>297</v>
      </c>
      <c r="X85" t="str">
        <f t="shared" si="35"/>
        <v>COVID-19</v>
      </c>
      <c r="Y85" t="s">
        <v>563</v>
      </c>
      <c r="Z85" t="str">
        <f t="shared" si="36"/>
        <v/>
      </c>
      <c r="AA85" t="str">
        <f t="shared" si="37"/>
        <v>Missing</v>
      </c>
      <c r="AB85" t="s">
        <v>33</v>
      </c>
      <c r="AC85" s="6" t="str">
        <f t="shared" si="38"/>
        <v/>
      </c>
      <c r="AD85" s="6" t="str">
        <f t="shared" si="39"/>
        <v>Missing</v>
      </c>
      <c r="AF85" t="str">
        <f t="shared" si="40"/>
        <v/>
      </c>
      <c r="AG85" t="str">
        <f t="shared" si="41"/>
        <v>Missing</v>
      </c>
      <c r="AH85" t="s">
        <v>176</v>
      </c>
      <c r="AI85" t="str">
        <f t="shared" si="42"/>
        <v/>
      </c>
      <c r="AJ85" s="5" t="s">
        <v>564</v>
      </c>
      <c r="AK85">
        <f>IF(TRIM(AJ85)="","",IF(LOWER(TRIM(AJ85))="one hundred",100,IFERROR(IF(VALUE(SUBSTITUTE(UPPER(TRIM(AJ85)),"GHS",""))&lt;0,"",VALUE(SUBSTITUTE(UPPER(TRIM(AJ85)),"GHS",""))),"")))</f>
        <v>417.12</v>
      </c>
      <c r="AM85" t="str">
        <f t="shared" si="43"/>
        <v/>
      </c>
      <c r="AN85" t="s">
        <v>147</v>
      </c>
      <c r="AO85" t="str">
        <f t="shared" si="44"/>
        <v>Paid</v>
      </c>
      <c r="AP85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85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85" t="s">
        <v>39</v>
      </c>
      <c r="AS85" t="str">
        <f t="shared" si="45"/>
        <v>Dr. Okoro</v>
      </c>
      <c r="AT85" t="s">
        <v>97</v>
      </c>
      <c r="AU85" t="str">
        <f t="shared" si="46"/>
        <v>Patient Came Late</v>
      </c>
    </row>
    <row r="86" spans="1:47" ht="18" customHeight="1">
      <c r="B86" t="str">
        <f t="shared" si="31"/>
        <v/>
      </c>
      <c r="C86" t="s">
        <v>241</v>
      </c>
      <c r="D86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Aisha</v>
      </c>
      <c r="E86" t="s">
        <v>86</v>
      </c>
      <c r="F86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Williams</v>
      </c>
      <c r="G86" t="s">
        <v>24</v>
      </c>
      <c r="H86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86" t="s">
        <v>25</v>
      </c>
      <c r="J86" t="str">
        <f t="shared" si="32"/>
        <v>Other</v>
      </c>
      <c r="L86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86" t="s">
        <v>565</v>
      </c>
      <c r="N86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+233249421681</v>
      </c>
      <c r="O86" t="s">
        <v>566</v>
      </c>
      <c r="P86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Q86" t="s">
        <v>110</v>
      </c>
      <c r="R86" t="str">
        <f t="shared" si="33"/>
        <v>Kumasi</v>
      </c>
      <c r="S86" t="s">
        <v>143</v>
      </c>
      <c r="T86" s="8">
        <f>IF(S86="","",IF(ISNUMBER(S86),S86,IF(AND(LEN(S86)=10,MID(S86,5,1)="-"),IFERROR(DATE(VALUE(LEFT(S86,4)),VALUE(MID(S86,6,2)),VALUE(RIGHT(S86,2))),"Invalid Date"),IF(AND(LEN(S86)=10,MID(S86,3,1)="/"),IFERROR(DATE(VALUE(RIGHT(S86,4)),VALUE(MID(S86,4,2)),VALUE(LEFT(S86,2))),"Invalid Date"),IF(AND(LEN(S86)=10,MID(S86,5,1)="/"),"Invalid Date",IFERROR(DATE(VALUE(RIGHT(S86,4)),MATCH(LEFT(S86,3),{"Jan","Feb","Mar","Apr","May","Jun","Jul","Aug","Sep","Oct","Nov","Dec"},0),VALUE(MID(S86,5,FIND(",",S86)-5))),"Invalid Date"))))))</f>
        <v>46099</v>
      </c>
      <c r="U86" t="s">
        <v>77</v>
      </c>
      <c r="V86" t="str">
        <f t="shared" si="34"/>
        <v>Emergency</v>
      </c>
      <c r="W86" t="s">
        <v>224</v>
      </c>
      <c r="X86" t="str">
        <f t="shared" si="35"/>
        <v>Diabetes</v>
      </c>
      <c r="Y86" t="s">
        <v>145</v>
      </c>
      <c r="Z86" t="str">
        <f t="shared" si="36"/>
        <v>120/80</v>
      </c>
      <c r="AA86" t="str">
        <f t="shared" si="37"/>
        <v>Valid</v>
      </c>
      <c r="AB86" t="s">
        <v>33</v>
      </c>
      <c r="AC86" s="6" t="str">
        <f t="shared" si="38"/>
        <v/>
      </c>
      <c r="AD86" s="6" t="str">
        <f t="shared" si="39"/>
        <v>Missing</v>
      </c>
      <c r="AE86" t="s">
        <v>204</v>
      </c>
      <c r="AF86" t="str">
        <f t="shared" si="40"/>
        <v/>
      </c>
      <c r="AG86" t="str">
        <f t="shared" si="41"/>
        <v>Missing</v>
      </c>
      <c r="AH86" t="s">
        <v>35</v>
      </c>
      <c r="AI86" t="str">
        <f t="shared" si="42"/>
        <v>Corporate</v>
      </c>
      <c r="AJ86" s="5" t="s">
        <v>567</v>
      </c>
      <c r="AK86">
        <f>IF(TRIM(AJ86)="","",IF(LOWER(TRIM(AJ86))="one hundred",100,IFERROR(IF(VALUE(SUBSTITUTE(UPPER(TRIM(AJ86)),"GHS",""))&lt;0,"",VALUE(SUBSTITUTE(UPPER(TRIM(AJ86)),"GHS",""))),"")))</f>
        <v>280.83999999999997</v>
      </c>
      <c r="AL86" t="s">
        <v>567</v>
      </c>
      <c r="AM86">
        <f t="shared" si="43"/>
        <v>280.83999999999997</v>
      </c>
      <c r="AN86" t="s">
        <v>117</v>
      </c>
      <c r="AO86" t="str">
        <f t="shared" si="44"/>
        <v>Refunded</v>
      </c>
      <c r="AP86">
        <f>IF(OR(MessyClinicPatients[[#This Row],[Clean Total Bill]]="",MessyClinicPatients[[#This Row],[Clean Amount Paid]]=""),"",MessyClinicPatients[[#This Row],[Clean Total Bill]]-MessyClinicPatients[[#This Row],[Clean Amount Paid]])</f>
        <v>0</v>
      </c>
      <c r="AQ86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86" t="s">
        <v>148</v>
      </c>
      <c r="AS86" t="str">
        <f t="shared" si="45"/>
        <v>Dr. Mensah</v>
      </c>
      <c r="AT86" t="s">
        <v>159</v>
      </c>
      <c r="AU86" t="str">
        <f t="shared" si="46"/>
        <v>Missing Lab Results</v>
      </c>
    </row>
    <row r="87" spans="1:47" ht="18" customHeight="1">
      <c r="B87" t="str">
        <f t="shared" si="31"/>
        <v/>
      </c>
      <c r="C87" t="s">
        <v>541</v>
      </c>
      <c r="D87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Hannah</v>
      </c>
      <c r="E87" t="s">
        <v>313</v>
      </c>
      <c r="F87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Abiola</v>
      </c>
      <c r="G87" t="s">
        <v>24</v>
      </c>
      <c r="H87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87" t="s">
        <v>88</v>
      </c>
      <c r="J87" t="str">
        <f t="shared" si="32"/>
        <v>Female</v>
      </c>
      <c r="L87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N87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87" t="s">
        <v>568</v>
      </c>
      <c r="P87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hannah_abiola@clinicmail.org</v>
      </c>
      <c r="Q87" t="s">
        <v>132</v>
      </c>
      <c r="R87" t="str">
        <f t="shared" si="33"/>
        <v>Kano</v>
      </c>
      <c r="S87" t="s">
        <v>569</v>
      </c>
      <c r="T87" s="8">
        <f>IF(S87="","",IF(ISNUMBER(S87),S87,IF(AND(LEN(S87)=10,MID(S87,5,1)="-"),IFERROR(DATE(VALUE(LEFT(S87,4)),VALUE(MID(S87,6,2)),VALUE(RIGHT(S87,2))),"Invalid Date"),IF(AND(LEN(S87)=10,MID(S87,3,1)="/"),IFERROR(DATE(VALUE(RIGHT(S87,4)),VALUE(MID(S87,4,2)),VALUE(LEFT(S87,2))),"Invalid Date"),IF(AND(LEN(S87)=10,MID(S87,5,1)="/"),"Invalid Date",IFERROR(DATE(VALUE(RIGHT(S87,4)),MATCH(LEFT(S87,3),{"Jan","Feb","Mar","Apr","May","Jun","Jul","Aug","Sep","Oct","Nov","Dec"},0),VALUE(MID(S87,5,FIND(",",S87)-5))),"Invalid Date"))))))</f>
        <v>46047</v>
      </c>
      <c r="U87" t="s">
        <v>30</v>
      </c>
      <c r="V87" t="str">
        <f t="shared" si="34"/>
        <v>Vaccination</v>
      </c>
      <c r="W87" t="s">
        <v>49</v>
      </c>
      <c r="X87" t="str">
        <f t="shared" si="35"/>
        <v>None</v>
      </c>
      <c r="Y87" t="s">
        <v>145</v>
      </c>
      <c r="Z87" t="str">
        <f t="shared" si="36"/>
        <v>120/80</v>
      </c>
      <c r="AA87" t="str">
        <f t="shared" si="37"/>
        <v>Valid</v>
      </c>
      <c r="AC87" s="6" t="str">
        <f t="shared" si="38"/>
        <v/>
      </c>
      <c r="AD87" s="6" t="str">
        <f t="shared" si="39"/>
        <v>Missing</v>
      </c>
      <c r="AE87" t="s">
        <v>238</v>
      </c>
      <c r="AF87" t="str">
        <f t="shared" si="40"/>
        <v/>
      </c>
      <c r="AG87" t="str">
        <f t="shared" si="41"/>
        <v>Missing</v>
      </c>
      <c r="AI87" t="str">
        <f t="shared" si="42"/>
        <v/>
      </c>
      <c r="AJ87" s="5" t="s">
        <v>570</v>
      </c>
      <c r="AK87">
        <f>IF(TRIM(AJ87)="","",IF(LOWER(TRIM(AJ87))="one hundred",100,IFERROR(IF(VALUE(SUBSTITUTE(UPPER(TRIM(AJ87)),"GHS",""))&lt;0,"",VALUE(SUBSTITUTE(UPPER(TRIM(AJ87)),"GHS",""))),"")))</f>
        <v>578.41</v>
      </c>
      <c r="AL87" t="s">
        <v>570</v>
      </c>
      <c r="AM87">
        <f t="shared" si="43"/>
        <v>578.41</v>
      </c>
      <c r="AN87" t="s">
        <v>147</v>
      </c>
      <c r="AO87" t="str">
        <f t="shared" si="44"/>
        <v>Paid</v>
      </c>
      <c r="AP87">
        <f>IF(OR(MessyClinicPatients[[#This Row],[Clean Total Bill]]="",MessyClinicPatients[[#This Row],[Clean Amount Paid]]=""),"",MessyClinicPatients[[#This Row],[Clean Total Bill]]-MessyClinicPatients[[#This Row],[Clean Amount Paid]])</f>
        <v>0</v>
      </c>
      <c r="AQ87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87" t="s">
        <v>39</v>
      </c>
      <c r="AS87" t="str">
        <f t="shared" si="45"/>
        <v>Dr. Okoro</v>
      </c>
      <c r="AT87" t="s">
        <v>274</v>
      </c>
      <c r="AU87" t="str">
        <f t="shared" si="46"/>
        <v>Repeated Record?</v>
      </c>
    </row>
    <row r="88" spans="1:47" ht="18" customHeight="1">
      <c r="A88" t="s">
        <v>571</v>
      </c>
      <c r="B88" t="str">
        <f t="shared" si="31"/>
        <v>P-1087</v>
      </c>
      <c r="C88" t="s">
        <v>200</v>
      </c>
      <c r="D88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Musa</v>
      </c>
      <c r="E88" t="s">
        <v>130</v>
      </c>
      <c r="F88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Mbeki</v>
      </c>
      <c r="G88" t="s">
        <v>24</v>
      </c>
      <c r="H88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88" t="s">
        <v>88</v>
      </c>
      <c r="J88" t="str">
        <f t="shared" si="32"/>
        <v>Female</v>
      </c>
      <c r="L88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88" t="s">
        <v>61</v>
      </c>
      <c r="N88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Invalid Phone</v>
      </c>
      <c r="P88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R88" t="str">
        <f t="shared" si="33"/>
        <v/>
      </c>
      <c r="S88" t="s">
        <v>92</v>
      </c>
      <c r="T88" s="8" t="str">
        <f>IF(S88="","",IF(ISNUMBER(S88),S88,IF(AND(LEN(S88)=10,MID(S88,5,1)="-"),IFERROR(DATE(VALUE(LEFT(S88,4)),VALUE(MID(S88,6,2)),VALUE(RIGHT(S88,2))),"Invalid Date"),IF(AND(LEN(S88)=10,MID(S88,3,1)="/"),IFERROR(DATE(VALUE(RIGHT(S88,4)),VALUE(MID(S88,4,2)),VALUE(LEFT(S88,2))),"Invalid Date"),IF(AND(LEN(S88)=10,MID(S88,5,1)="/"),"Invalid Date",IFERROR(DATE(VALUE(RIGHT(S88,4)),MATCH(LEFT(S88,3),{"Jan","Feb","Mar","Apr","May","Jun","Jul","Aug","Sep","Oct","Nov","Dec"},0),VALUE(MID(S88,5,FIND(",",S88)-5))),"Invalid Date"))))))</f>
        <v>Invalid Date</v>
      </c>
      <c r="U88" t="s">
        <v>48</v>
      </c>
      <c r="V88" t="str">
        <f t="shared" si="34"/>
        <v>Routine Checkup</v>
      </c>
      <c r="W88" t="s">
        <v>124</v>
      </c>
      <c r="X88" t="str">
        <f t="shared" si="35"/>
        <v>Hypertension</v>
      </c>
      <c r="Z88" t="str">
        <f t="shared" si="36"/>
        <v/>
      </c>
      <c r="AA88" t="str">
        <f t="shared" si="37"/>
        <v>Missing</v>
      </c>
      <c r="AB88" t="s">
        <v>336</v>
      </c>
      <c r="AC88" s="6">
        <f t="shared" si="38"/>
        <v>37.888888888888886</v>
      </c>
      <c r="AD88" s="6" t="str">
        <f t="shared" si="39"/>
        <v>Fahrenheit Converted</v>
      </c>
      <c r="AE88" t="s">
        <v>572</v>
      </c>
      <c r="AF88">
        <f t="shared" si="40"/>
        <v>95.2</v>
      </c>
      <c r="AG88" t="str">
        <f t="shared" si="41"/>
        <v>Valid</v>
      </c>
      <c r="AH88" t="s">
        <v>93</v>
      </c>
      <c r="AI88" t="str">
        <f t="shared" si="42"/>
        <v>Private</v>
      </c>
      <c r="AJ88" s="5" t="s">
        <v>573</v>
      </c>
      <c r="AK88">
        <f>IF(TRIM(AJ88)="","",IF(LOWER(TRIM(AJ88))="one hundred",100,IFERROR(IF(VALUE(SUBSTITUTE(UPPER(TRIM(AJ88)),"GHS",""))&lt;0,"",VALUE(SUBSTITUTE(UPPER(TRIM(AJ88)),"GHS",""))),"")))</f>
        <v>250.68</v>
      </c>
      <c r="AL88" t="s">
        <v>574</v>
      </c>
      <c r="AM88">
        <f t="shared" si="43"/>
        <v>242.69</v>
      </c>
      <c r="AN88" t="s">
        <v>137</v>
      </c>
      <c r="AO88" t="str">
        <f t="shared" si="44"/>
        <v>Unpaid</v>
      </c>
      <c r="AP88">
        <f>IF(OR(MessyClinicPatients[[#This Row],[Clean Total Bill]]="",MessyClinicPatients[[#This Row],[Clean Amount Paid]]=""),"",MessyClinicPatients[[#This Row],[Clean Total Bill]]-MessyClinicPatients[[#This Row],[Clean Amount Paid]])</f>
        <v>7.9900000000000091</v>
      </c>
      <c r="AQ88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88" t="s">
        <v>211</v>
      </c>
      <c r="AS88" t="str">
        <f t="shared" si="45"/>
        <v>Nurse Ama</v>
      </c>
      <c r="AU88" t="str">
        <f t="shared" si="46"/>
        <v/>
      </c>
    </row>
    <row r="89" spans="1:47" ht="18" customHeight="1">
      <c r="A89" t="s">
        <v>575</v>
      </c>
      <c r="B89" t="str">
        <f t="shared" si="31"/>
        <v>P-0088</v>
      </c>
      <c r="C89" t="s">
        <v>119</v>
      </c>
      <c r="D89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Peter</v>
      </c>
      <c r="E89" t="s">
        <v>189</v>
      </c>
      <c r="F89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Mensah</v>
      </c>
      <c r="H89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89" t="s">
        <v>59</v>
      </c>
      <c r="J89" t="str">
        <f t="shared" si="32"/>
        <v>Female</v>
      </c>
      <c r="L89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89" t="s">
        <v>576</v>
      </c>
      <c r="N89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4801956905</v>
      </c>
      <c r="P89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R89" t="str">
        <f t="shared" si="33"/>
        <v/>
      </c>
      <c r="S89" t="s">
        <v>577</v>
      </c>
      <c r="T89" s="8">
        <f>IF(S89="","",IF(ISNUMBER(S89),S89,IF(AND(LEN(S89)=10,MID(S89,5,1)="-"),IFERROR(DATE(VALUE(LEFT(S89,4)),VALUE(MID(S89,6,2)),VALUE(RIGHT(S89,2))),"Invalid Date"),IF(AND(LEN(S89)=10,MID(S89,3,1)="/"),IFERROR(DATE(VALUE(RIGHT(S89,4)),VALUE(MID(S89,4,2)),VALUE(LEFT(S89,2))),"Invalid Date"),IF(AND(LEN(S89)=10,MID(S89,5,1)="/"),"Invalid Date",IFERROR(DATE(VALUE(RIGHT(S89,4)),MATCH(LEFT(S89,3),{"Jan","Feb","Mar","Apr","May","Jun","Jul","Aug","Sep","Oct","Nov","Dec"},0),VALUE(MID(S89,5,FIND(",",S89)-5))),"Invalid Date"))))))</f>
        <v>46065</v>
      </c>
      <c r="U89" t="s">
        <v>48</v>
      </c>
      <c r="V89" t="str">
        <f t="shared" si="34"/>
        <v>Routine Checkup</v>
      </c>
      <c r="W89" t="s">
        <v>124</v>
      </c>
      <c r="X89" t="str">
        <f t="shared" si="35"/>
        <v>Hypertension</v>
      </c>
      <c r="Y89" t="s">
        <v>578</v>
      </c>
      <c r="Z89" t="str">
        <f t="shared" si="36"/>
        <v>124/87</v>
      </c>
      <c r="AA89" t="str">
        <f t="shared" si="37"/>
        <v>Valid</v>
      </c>
      <c r="AB89" t="s">
        <v>579</v>
      </c>
      <c r="AC89" s="6">
        <f t="shared" si="38"/>
        <v>35</v>
      </c>
      <c r="AD89" s="6" t="str">
        <f t="shared" si="39"/>
        <v>Fahrenheit Converted</v>
      </c>
      <c r="AE89" t="s">
        <v>204</v>
      </c>
      <c r="AF89" t="str">
        <f t="shared" si="40"/>
        <v/>
      </c>
      <c r="AG89" t="str">
        <f t="shared" si="41"/>
        <v>Missing</v>
      </c>
      <c r="AH89" t="s">
        <v>81</v>
      </c>
      <c r="AI89" t="str">
        <f t="shared" si="42"/>
        <v>NHIS</v>
      </c>
      <c r="AJ89" s="5" t="s">
        <v>580</v>
      </c>
      <c r="AK89">
        <f>IF(TRIM(AJ89)="","",IF(LOWER(TRIM(AJ89))="one hundred",100,IFERROR(IF(VALUE(SUBSTITUTE(UPPER(TRIM(AJ89)),"GHS",""))&lt;0,"",VALUE(SUBSTITUTE(UPPER(TRIM(AJ89)),"GHS",""))),"")))</f>
        <v>249.88</v>
      </c>
      <c r="AL89" t="s">
        <v>116</v>
      </c>
      <c r="AM89" t="str">
        <f t="shared" si="43"/>
        <v/>
      </c>
      <c r="AN89" t="s">
        <v>117</v>
      </c>
      <c r="AO89" t="str">
        <f t="shared" si="44"/>
        <v>Refunded</v>
      </c>
      <c r="AP89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89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Refunded</v>
      </c>
      <c r="AR89" t="s">
        <v>39</v>
      </c>
      <c r="AS89" t="str">
        <f t="shared" si="45"/>
        <v>Dr. Okoro</v>
      </c>
      <c r="AT89" t="s">
        <v>40</v>
      </c>
      <c r="AU89" t="str">
        <f t="shared" si="46"/>
        <v>Needs Follow-Up</v>
      </c>
    </row>
    <row r="90" spans="1:47" ht="18" customHeight="1">
      <c r="A90" t="s">
        <v>581</v>
      </c>
      <c r="B90" t="str">
        <f t="shared" si="31"/>
        <v>P-0089</v>
      </c>
      <c r="C90" t="s">
        <v>276</v>
      </c>
      <c r="D90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Yusuf</v>
      </c>
      <c r="E90" t="s">
        <v>219</v>
      </c>
      <c r="F90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Yakubu</v>
      </c>
      <c r="G90" s="9">
        <v>-3</v>
      </c>
      <c r="H90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90" t="s">
        <v>88</v>
      </c>
      <c r="J90" t="str">
        <f t="shared" si="32"/>
        <v>Female</v>
      </c>
      <c r="L90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90" t="s">
        <v>582</v>
      </c>
      <c r="N90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+233243347276</v>
      </c>
      <c r="P90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90" t="s">
        <v>76</v>
      </c>
      <c r="R90" t="str">
        <f t="shared" si="33"/>
        <v>Cape Coast</v>
      </c>
      <c r="S90" t="s">
        <v>583</v>
      </c>
      <c r="T90" s="8">
        <f>IF(S90="","",IF(ISNUMBER(S90),S90,IF(AND(LEN(S90)=10,MID(S90,5,1)="-"),IFERROR(DATE(VALUE(LEFT(S90,4)),VALUE(MID(S90,6,2)),VALUE(RIGHT(S90,2))),"Invalid Date"),IF(AND(LEN(S90)=10,MID(S90,3,1)="/"),IFERROR(DATE(VALUE(RIGHT(S90,4)),VALUE(MID(S90,4,2)),VALUE(LEFT(S90,2))),"Invalid Date"),IF(AND(LEN(S90)=10,MID(S90,5,1)="/"),"Invalid Date",IFERROR(DATE(VALUE(RIGHT(S90,4)),MATCH(LEFT(S90,3),{"Jan","Feb","Mar","Apr","May","Jun","Jul","Aug","Sep","Oct","Nov","Dec"},0),VALUE(MID(S90,5,FIND(",",S90)-5))),"Invalid Date"))))))</f>
        <v>46099</v>
      </c>
      <c r="U90" t="s">
        <v>48</v>
      </c>
      <c r="V90" t="str">
        <f t="shared" si="34"/>
        <v>Routine Checkup</v>
      </c>
      <c r="X90" t="str">
        <f t="shared" si="35"/>
        <v/>
      </c>
      <c r="Y90" t="s">
        <v>584</v>
      </c>
      <c r="Z90" t="str">
        <f t="shared" si="36"/>
        <v>177/103</v>
      </c>
      <c r="AA90" t="str">
        <f t="shared" si="37"/>
        <v>Valid</v>
      </c>
      <c r="AC90" s="6" t="str">
        <f t="shared" si="38"/>
        <v/>
      </c>
      <c r="AD90" s="6" t="str">
        <f t="shared" si="39"/>
        <v>Missing</v>
      </c>
      <c r="AF90" t="str">
        <f t="shared" si="40"/>
        <v/>
      </c>
      <c r="AG90" t="str">
        <f t="shared" si="41"/>
        <v>Missing</v>
      </c>
      <c r="AH90" t="s">
        <v>35</v>
      </c>
      <c r="AI90" t="str">
        <f t="shared" si="42"/>
        <v>Corporate</v>
      </c>
      <c r="AJ90" s="5" t="s">
        <v>585</v>
      </c>
      <c r="AK90">
        <f>IF(TRIM(AJ90)="","",IF(LOWER(TRIM(AJ90))="one hundred",100,IFERROR(IF(VALUE(SUBSTITUTE(UPPER(TRIM(AJ90)),"GHS",""))&lt;0,"",VALUE(SUBSTITUTE(UPPER(TRIM(AJ90)),"GHS",""))),"")))</f>
        <v>241.98</v>
      </c>
      <c r="AL90" t="s">
        <v>586</v>
      </c>
      <c r="AM90">
        <f t="shared" si="43"/>
        <v>196.82</v>
      </c>
      <c r="AN90" t="s">
        <v>147</v>
      </c>
      <c r="AO90" t="str">
        <f t="shared" si="44"/>
        <v>Paid</v>
      </c>
      <c r="AP90">
        <f>IF(OR(MessyClinicPatients[[#This Row],[Clean Total Bill]]="",MessyClinicPatients[[#This Row],[Clean Amount Paid]]=""),"",MessyClinicPatients[[#This Row],[Clean Total Bill]]-MessyClinicPatients[[#This Row],[Clean Amount Paid]])</f>
        <v>45.16</v>
      </c>
      <c r="AQ90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90" t="s">
        <v>96</v>
      </c>
      <c r="AS90" t="str">
        <f t="shared" si="45"/>
        <v>Nurse Amina</v>
      </c>
      <c r="AT90" t="s">
        <v>159</v>
      </c>
      <c r="AU90" t="str">
        <f t="shared" si="46"/>
        <v>Missing Lab Results</v>
      </c>
    </row>
    <row r="91" spans="1:47" ht="18" customHeight="1">
      <c r="A91" t="s">
        <v>587</v>
      </c>
      <c r="B91" t="str">
        <f t="shared" si="31"/>
        <v>P-0090</v>
      </c>
      <c r="C91" t="s">
        <v>390</v>
      </c>
      <c r="D91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Nana</v>
      </c>
      <c r="E91" t="s">
        <v>23</v>
      </c>
      <c r="F91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Adebayo</v>
      </c>
      <c r="G91" s="9">
        <v>-3</v>
      </c>
      <c r="H91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J91" t="str">
        <f t="shared" si="32"/>
        <v/>
      </c>
      <c r="L91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91" t="s">
        <v>588</v>
      </c>
      <c r="N91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0243345961</v>
      </c>
      <c r="O91" t="s">
        <v>589</v>
      </c>
      <c r="P91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nana_adebayo@clinicmail.org</v>
      </c>
      <c r="Q91" t="s">
        <v>76</v>
      </c>
      <c r="R91" t="str">
        <f t="shared" si="33"/>
        <v>Cape Coast</v>
      </c>
      <c r="S91" t="s">
        <v>92</v>
      </c>
      <c r="T91" s="8" t="str">
        <f>IF(S91="","",IF(ISNUMBER(S91),S91,IF(AND(LEN(S91)=10,MID(S91,5,1)="-"),IFERROR(DATE(VALUE(LEFT(S91,4)),VALUE(MID(S91,6,2)),VALUE(RIGHT(S91,2))),"Invalid Date"),IF(AND(LEN(S91)=10,MID(S91,3,1)="/"),IFERROR(DATE(VALUE(RIGHT(S91,4)),VALUE(MID(S91,4,2)),VALUE(LEFT(S91,2))),"Invalid Date"),IF(AND(LEN(S91)=10,MID(S91,5,1)="/"),"Invalid Date",IFERROR(DATE(VALUE(RIGHT(S91,4)),MATCH(LEFT(S91,3),{"Jan","Feb","Mar","Apr","May","Jun","Jul","Aug","Sep","Oct","Nov","Dec"},0),VALUE(MID(S91,5,FIND(",",S91)-5))),"Invalid Date"))))))</f>
        <v>Invalid Date</v>
      </c>
      <c r="U91" t="s">
        <v>134</v>
      </c>
      <c r="V91" t="str">
        <f t="shared" si="34"/>
        <v>Follow-up</v>
      </c>
      <c r="W91" t="s">
        <v>412</v>
      </c>
      <c r="X91" t="str">
        <f t="shared" si="35"/>
        <v>Asthma</v>
      </c>
      <c r="Y91" t="s">
        <v>590</v>
      </c>
      <c r="Z91" t="str">
        <f t="shared" si="36"/>
        <v/>
      </c>
      <c r="AA91" t="str">
        <f t="shared" si="37"/>
        <v>Missing</v>
      </c>
      <c r="AB91" t="s">
        <v>591</v>
      </c>
      <c r="AC91" s="6">
        <f t="shared" si="38"/>
        <v>35.944444444444443</v>
      </c>
      <c r="AD91" s="6" t="str">
        <f t="shared" si="39"/>
        <v>Fahrenheit Converted</v>
      </c>
      <c r="AE91" t="s">
        <v>592</v>
      </c>
      <c r="AF91">
        <f t="shared" si="40"/>
        <v>37.6</v>
      </c>
      <c r="AG91" t="str">
        <f t="shared" si="41"/>
        <v>Valid</v>
      </c>
      <c r="AH91" t="s">
        <v>176</v>
      </c>
      <c r="AI91" t="str">
        <f t="shared" si="42"/>
        <v/>
      </c>
      <c r="AJ91" s="5" t="s">
        <v>593</v>
      </c>
      <c r="AK91">
        <f>IF(TRIM(AJ91)="","",IF(LOWER(TRIM(AJ91))="one hundred",100,IFERROR(IF(VALUE(SUBSTITUTE(UPPER(TRIM(AJ91)),"GHS",""))&lt;0,"",VALUE(SUBSTITUTE(UPPER(TRIM(AJ91)),"GHS",""))),"")))</f>
        <v>185.25</v>
      </c>
      <c r="AL91" t="s">
        <v>593</v>
      </c>
      <c r="AM91">
        <f t="shared" si="43"/>
        <v>185.25</v>
      </c>
      <c r="AN91" t="s">
        <v>147</v>
      </c>
      <c r="AO91" t="str">
        <f t="shared" si="44"/>
        <v>Paid</v>
      </c>
      <c r="AP91">
        <f>IF(OR(MessyClinicPatients[[#This Row],[Clean Total Bill]]="",MessyClinicPatients[[#This Row],[Clean Amount Paid]]=""),"",MessyClinicPatients[[#This Row],[Clean Total Bill]]-MessyClinicPatients[[#This Row],[Clean Amount Paid]])</f>
        <v>0</v>
      </c>
      <c r="AQ91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91" t="s">
        <v>148</v>
      </c>
      <c r="AS91" t="str">
        <f t="shared" si="45"/>
        <v>Dr. Mensah</v>
      </c>
      <c r="AT91" t="s">
        <v>40</v>
      </c>
      <c r="AU91" t="str">
        <f t="shared" si="46"/>
        <v>Needs Follow-Up</v>
      </c>
    </row>
    <row r="92" spans="1:47" ht="18" customHeight="1">
      <c r="B92" t="str">
        <f t="shared" si="31"/>
        <v/>
      </c>
      <c r="C92" t="s">
        <v>356</v>
      </c>
      <c r="D92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Linda</v>
      </c>
      <c r="E92" t="s">
        <v>260</v>
      </c>
      <c r="F92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Acheampong</v>
      </c>
      <c r="G92" s="9">
        <v>-3</v>
      </c>
      <c r="H92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92" t="s">
        <v>183</v>
      </c>
      <c r="J92" t="str">
        <f t="shared" si="32"/>
        <v>Male</v>
      </c>
      <c r="L92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92" t="s">
        <v>594</v>
      </c>
      <c r="N92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+233245306986</v>
      </c>
      <c r="O92" t="s">
        <v>595</v>
      </c>
      <c r="P92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linda.acheampong@email.com</v>
      </c>
      <c r="Q92" t="s">
        <v>110</v>
      </c>
      <c r="R92" t="str">
        <f t="shared" si="33"/>
        <v>Kumasi</v>
      </c>
      <c r="S92" t="s">
        <v>596</v>
      </c>
      <c r="T92" s="8">
        <f>IF(S92="","",IF(ISNUMBER(S92),S92,IF(AND(LEN(S92)=10,MID(S92,5,1)="-"),IFERROR(DATE(VALUE(LEFT(S92,4)),VALUE(MID(S92,6,2)),VALUE(RIGHT(S92,2))),"Invalid Date"),IF(AND(LEN(S92)=10,MID(S92,3,1)="/"),IFERROR(DATE(VALUE(RIGHT(S92,4)),VALUE(MID(S92,4,2)),VALUE(LEFT(S92,2))),"Invalid Date"),IF(AND(LEN(S92)=10,MID(S92,5,1)="/"),"Invalid Date",IFERROR(DATE(VALUE(RIGHT(S92,4)),MATCH(LEFT(S92,3),{"Jan","Feb","Mar","Apr","May","Jun","Jul","Aug","Sep","Oct","Nov","Dec"},0),VALUE(MID(S92,5,FIND(",",S92)-5))),"Invalid Date"))))))</f>
        <v>46026</v>
      </c>
      <c r="U92" t="s">
        <v>30</v>
      </c>
      <c r="V92" t="str">
        <f t="shared" si="34"/>
        <v>Vaccination</v>
      </c>
      <c r="W92" t="s">
        <v>103</v>
      </c>
      <c r="X92" t="str">
        <f t="shared" si="35"/>
        <v>Diabetes</v>
      </c>
      <c r="Y92" t="s">
        <v>597</v>
      </c>
      <c r="Z92" t="str">
        <f t="shared" si="36"/>
        <v/>
      </c>
      <c r="AA92" t="str">
        <f t="shared" si="37"/>
        <v>Missing</v>
      </c>
      <c r="AB92" t="s">
        <v>598</v>
      </c>
      <c r="AC92" s="6">
        <f t="shared" si="38"/>
        <v>37.111111111111114</v>
      </c>
      <c r="AD92" s="6" t="str">
        <f t="shared" si="39"/>
        <v>Fahrenheit Converted</v>
      </c>
      <c r="AE92" t="s">
        <v>204</v>
      </c>
      <c r="AF92" t="str">
        <f t="shared" si="40"/>
        <v/>
      </c>
      <c r="AG92" t="str">
        <f t="shared" si="41"/>
        <v>Missing</v>
      </c>
      <c r="AH92" t="s">
        <v>114</v>
      </c>
      <c r="AI92" t="str">
        <f t="shared" si="42"/>
        <v>NHIS</v>
      </c>
      <c r="AJ92" s="5" t="s">
        <v>599</v>
      </c>
      <c r="AK92">
        <f>IF(TRIM(AJ92)="","",IF(LOWER(TRIM(AJ92))="one hundred",100,IFERROR(IF(VALUE(SUBSTITUTE(UPPER(TRIM(AJ92)),"GHS",""))&lt;0,"",VALUE(SUBSTITUTE(UPPER(TRIM(AJ92)),"GHS",""))),"")))</f>
        <v>145.13</v>
      </c>
      <c r="AM92" t="str">
        <f t="shared" si="43"/>
        <v/>
      </c>
      <c r="AN92" t="s">
        <v>137</v>
      </c>
      <c r="AO92" t="str">
        <f t="shared" si="44"/>
        <v>Unpaid</v>
      </c>
      <c r="AP92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92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R92" t="s">
        <v>96</v>
      </c>
      <c r="AS92" t="str">
        <f t="shared" si="45"/>
        <v>Nurse Amina</v>
      </c>
      <c r="AT92" t="s">
        <v>97</v>
      </c>
      <c r="AU92" t="str">
        <f t="shared" si="46"/>
        <v>Patient Came Late</v>
      </c>
    </row>
    <row r="93" spans="1:47" ht="18" customHeight="1">
      <c r="A93" t="s">
        <v>600</v>
      </c>
      <c r="B93" t="str">
        <f t="shared" si="31"/>
        <v>P-0092</v>
      </c>
      <c r="C93" t="s">
        <v>109</v>
      </c>
      <c r="D93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David</v>
      </c>
      <c r="E93" t="s">
        <v>260</v>
      </c>
      <c r="F93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Acheampong</v>
      </c>
      <c r="G93" s="9">
        <v>130</v>
      </c>
      <c r="H93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93" t="s">
        <v>163</v>
      </c>
      <c r="J93" t="str">
        <f t="shared" si="32"/>
        <v>Male</v>
      </c>
      <c r="L93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93" t="s">
        <v>176</v>
      </c>
      <c r="N93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93" t="s">
        <v>27</v>
      </c>
      <c r="P93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93" t="s">
        <v>110</v>
      </c>
      <c r="R93" t="str">
        <f t="shared" si="33"/>
        <v>Kumasi</v>
      </c>
      <c r="S93" t="s">
        <v>92</v>
      </c>
      <c r="T93" s="8" t="str">
        <f>IF(S93="","",IF(ISNUMBER(S93),S93,IF(AND(LEN(S93)=10,MID(S93,5,1)="-"),IFERROR(DATE(VALUE(LEFT(S93,4)),VALUE(MID(S93,6,2)),VALUE(RIGHT(S93,2))),"Invalid Date"),IF(AND(LEN(S93)=10,MID(S93,3,1)="/"),IFERROR(DATE(VALUE(RIGHT(S93,4)),VALUE(MID(S93,4,2)),VALUE(LEFT(S93,2))),"Invalid Date"),IF(AND(LEN(S93)=10,MID(S93,5,1)="/"),"Invalid Date",IFERROR(DATE(VALUE(RIGHT(S93,4)),MATCH(LEFT(S93,3),{"Jan","Feb","Mar","Apr","May","Jun","Jul","Aug","Sep","Oct","Nov","Dec"},0),VALUE(MID(S93,5,FIND(",",S93)-5))),"Invalid Date"))))))</f>
        <v>Invalid Date</v>
      </c>
      <c r="U93" t="s">
        <v>30</v>
      </c>
      <c r="V93" t="str">
        <f t="shared" si="34"/>
        <v>Vaccination</v>
      </c>
      <c r="W93" t="s">
        <v>65</v>
      </c>
      <c r="X93" t="str">
        <f t="shared" si="35"/>
        <v>Hypertension</v>
      </c>
      <c r="Y93" t="s">
        <v>145</v>
      </c>
      <c r="Z93" t="str">
        <f t="shared" si="36"/>
        <v>120/80</v>
      </c>
      <c r="AA93" t="str">
        <f t="shared" si="37"/>
        <v>Valid</v>
      </c>
      <c r="AB93" t="s">
        <v>33</v>
      </c>
      <c r="AC93" s="6" t="str">
        <f t="shared" si="38"/>
        <v/>
      </c>
      <c r="AD93" s="6" t="str">
        <f t="shared" si="39"/>
        <v>Missing</v>
      </c>
      <c r="AE93" t="s">
        <v>80</v>
      </c>
      <c r="AF93">
        <f t="shared" si="40"/>
        <v>80</v>
      </c>
      <c r="AG93" t="str">
        <f t="shared" si="41"/>
        <v>Valid</v>
      </c>
      <c r="AH93" t="s">
        <v>93</v>
      </c>
      <c r="AI93" t="str">
        <f t="shared" si="42"/>
        <v>Private</v>
      </c>
      <c r="AJ93" s="5" t="s">
        <v>601</v>
      </c>
      <c r="AK93">
        <f>IF(TRIM(AJ93)="","",IF(LOWER(TRIM(AJ93))="one hundred",100,IFERROR(IF(VALUE(SUBSTITUTE(UPPER(TRIM(AJ93)),"GHS",""))&lt;0,"",VALUE(SUBSTITUTE(UPPER(TRIM(AJ93)),"GHS",""))),"")))</f>
        <v>51.92</v>
      </c>
      <c r="AL93" t="s">
        <v>116</v>
      </c>
      <c r="AM93" t="str">
        <f t="shared" si="43"/>
        <v/>
      </c>
      <c r="AN93" t="s">
        <v>147</v>
      </c>
      <c r="AO93" t="str">
        <f t="shared" si="44"/>
        <v>Paid</v>
      </c>
      <c r="AP93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93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93" t="s">
        <v>69</v>
      </c>
      <c r="AS93" t="str">
        <f t="shared" si="45"/>
        <v>Dr. Mensah</v>
      </c>
      <c r="AT93" t="s">
        <v>40</v>
      </c>
      <c r="AU93" t="str">
        <f t="shared" si="46"/>
        <v>Needs Follow-Up</v>
      </c>
    </row>
    <row r="94" spans="1:47" ht="18" customHeight="1">
      <c r="A94" t="s">
        <v>602</v>
      </c>
      <c r="B94" t="str">
        <f t="shared" si="31"/>
        <v>P-0093</v>
      </c>
      <c r="C94" t="s">
        <v>603</v>
      </c>
      <c r="D94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Tunde</v>
      </c>
      <c r="E94" t="s">
        <v>219</v>
      </c>
      <c r="F94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Yakubu</v>
      </c>
      <c r="G94" s="9">
        <v>130</v>
      </c>
      <c r="H94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94" t="s">
        <v>25</v>
      </c>
      <c r="J94" t="str">
        <f t="shared" si="32"/>
        <v>Other</v>
      </c>
      <c r="L94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94" t="s">
        <v>604</v>
      </c>
      <c r="N94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+233243692262</v>
      </c>
      <c r="O94" t="s">
        <v>605</v>
      </c>
      <c r="P94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tunde_yakubu@clinicmail.org</v>
      </c>
      <c r="Q94" t="s">
        <v>110</v>
      </c>
      <c r="R94" t="str">
        <f t="shared" si="33"/>
        <v>Kumasi</v>
      </c>
      <c r="S94" t="s">
        <v>606</v>
      </c>
      <c r="T94" s="8">
        <f>IF(S94="","",IF(ISNUMBER(S94),S94,IF(AND(LEN(S94)=10,MID(S94,5,1)="-"),IFERROR(DATE(VALUE(LEFT(S94,4)),VALUE(MID(S94,6,2)),VALUE(RIGHT(S94,2))),"Invalid Date"),IF(AND(LEN(S94)=10,MID(S94,3,1)="/"),IFERROR(DATE(VALUE(RIGHT(S94,4)),VALUE(MID(S94,4,2)),VALUE(LEFT(S94,2))),"Invalid Date"),IF(AND(LEN(S94)=10,MID(S94,5,1)="/"),"Invalid Date",IFERROR(DATE(VALUE(RIGHT(S94,4)),MATCH(LEFT(S94,3),{"Jan","Feb","Mar","Apr","May","Jun","Jul","Aug","Sep","Oct","Nov","Dec"},0),VALUE(MID(S94,5,FIND(",",S94)-5))),"Invalid Date"))))))</f>
        <v>46065</v>
      </c>
      <c r="U94" t="s">
        <v>77</v>
      </c>
      <c r="V94" t="str">
        <f t="shared" si="34"/>
        <v>Emergency</v>
      </c>
      <c r="X94" t="str">
        <f t="shared" si="35"/>
        <v/>
      </c>
      <c r="Y94" t="s">
        <v>607</v>
      </c>
      <c r="Z94" t="str">
        <f t="shared" si="36"/>
        <v/>
      </c>
      <c r="AA94" t="str">
        <f t="shared" si="37"/>
        <v>Missing</v>
      </c>
      <c r="AB94" t="s">
        <v>608</v>
      </c>
      <c r="AC94" s="6">
        <f t="shared" si="38"/>
        <v>35.200000000000003</v>
      </c>
      <c r="AD94" s="6" t="str">
        <f t="shared" si="39"/>
        <v>Valid</v>
      </c>
      <c r="AE94" t="s">
        <v>238</v>
      </c>
      <c r="AF94" t="str">
        <f t="shared" si="40"/>
        <v/>
      </c>
      <c r="AG94" t="str">
        <f t="shared" si="41"/>
        <v>Missing</v>
      </c>
      <c r="AH94" t="s">
        <v>81</v>
      </c>
      <c r="AI94" t="str">
        <f t="shared" si="42"/>
        <v>NHIS</v>
      </c>
      <c r="AJ94" s="5" t="s">
        <v>609</v>
      </c>
      <c r="AK94">
        <f>IF(TRIM(AJ94)="","",IF(LOWER(TRIM(AJ94))="one hundred",100,IFERROR(IF(VALUE(SUBSTITUTE(UPPER(TRIM(AJ94)),"GHS",""))&lt;0,"",VALUE(SUBSTITUTE(UPPER(TRIM(AJ94)),"GHS",""))),"")))</f>
        <v>111.24</v>
      </c>
      <c r="AL94" t="s">
        <v>37</v>
      </c>
      <c r="AM94">
        <f t="shared" si="43"/>
        <v>100</v>
      </c>
      <c r="AO94" t="str">
        <f t="shared" si="44"/>
        <v/>
      </c>
      <c r="AP94">
        <f>IF(OR(MessyClinicPatients[[#This Row],[Clean Total Bill]]="",MessyClinicPatients[[#This Row],[Clean Amount Paid]]=""),"",MessyClinicPatients[[#This Row],[Clean Total Bill]]-MessyClinicPatients[[#This Row],[Clean Amount Paid]])</f>
        <v>11.239999999999995</v>
      </c>
      <c r="AQ94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S94" t="str">
        <f t="shared" si="45"/>
        <v/>
      </c>
      <c r="AT94" t="s">
        <v>171</v>
      </c>
      <c r="AU94" t="str">
        <f t="shared" si="46"/>
        <v>Allergy: Penicillin</v>
      </c>
    </row>
    <row r="95" spans="1:47" ht="18" customHeight="1">
      <c r="A95" t="s">
        <v>610</v>
      </c>
      <c r="B95" t="str">
        <f t="shared" si="31"/>
        <v>P-0094</v>
      </c>
      <c r="C95" t="s">
        <v>71</v>
      </c>
      <c r="D95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Samuel</v>
      </c>
      <c r="E95" t="s">
        <v>260</v>
      </c>
      <c r="F95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Acheampong</v>
      </c>
      <c r="G95" s="9">
        <v>-3</v>
      </c>
      <c r="H95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95" t="s">
        <v>183</v>
      </c>
      <c r="J95" t="str">
        <f t="shared" si="32"/>
        <v>Male</v>
      </c>
      <c r="L95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95" t="s">
        <v>611</v>
      </c>
      <c r="N95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0247254683</v>
      </c>
      <c r="O95" t="s">
        <v>612</v>
      </c>
      <c r="P95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samuel_acheampong@clinicmail.org</v>
      </c>
      <c r="Q95" t="s">
        <v>222</v>
      </c>
      <c r="R95" t="str">
        <f t="shared" si="33"/>
        <v>Abuja</v>
      </c>
      <c r="T95" s="8" t="str">
        <f>IF(S95="","",IF(ISNUMBER(S95),S95,IF(AND(LEN(S95)=10,MID(S95,5,1)="-"),IFERROR(DATE(VALUE(LEFT(S95,4)),VALUE(MID(S95,6,2)),VALUE(RIGHT(S95,2))),"Invalid Date"),IF(AND(LEN(S95)=10,MID(S95,3,1)="/"),IFERROR(DATE(VALUE(RIGHT(S95,4)),VALUE(MID(S95,4,2)),VALUE(LEFT(S95,2))),"Invalid Date"),IF(AND(LEN(S95)=10,MID(S95,5,1)="/"),"Invalid Date",IFERROR(DATE(VALUE(RIGHT(S95,4)),MATCH(LEFT(S95,3),{"Jan","Feb","Mar","Apr","May","Jun","Jul","Aug","Sep","Oct","Nov","Dec"},0),VALUE(MID(S95,5,FIND(",",S95)-5))),"Invalid Date"))))))</f>
        <v/>
      </c>
      <c r="U95" t="s">
        <v>48</v>
      </c>
      <c r="V95" t="str">
        <f t="shared" si="34"/>
        <v>Routine Checkup</v>
      </c>
      <c r="W95" t="s">
        <v>155</v>
      </c>
      <c r="X95" t="str">
        <f t="shared" si="35"/>
        <v>Migraine</v>
      </c>
      <c r="Y95" t="s">
        <v>613</v>
      </c>
      <c r="Z95" t="str">
        <f t="shared" si="36"/>
        <v/>
      </c>
      <c r="AA95" t="str">
        <f t="shared" si="37"/>
        <v>Missing</v>
      </c>
      <c r="AB95" t="s">
        <v>33</v>
      </c>
      <c r="AC95" s="6" t="str">
        <f t="shared" si="38"/>
        <v/>
      </c>
      <c r="AD95" s="6" t="str">
        <f t="shared" si="39"/>
        <v>Missing</v>
      </c>
      <c r="AE95" t="s">
        <v>80</v>
      </c>
      <c r="AF95">
        <f t="shared" si="40"/>
        <v>80</v>
      </c>
      <c r="AG95" t="str">
        <f t="shared" si="41"/>
        <v>Valid</v>
      </c>
      <c r="AH95" t="s">
        <v>176</v>
      </c>
      <c r="AI95" t="str">
        <f t="shared" si="42"/>
        <v/>
      </c>
      <c r="AJ95" s="5" t="s">
        <v>614</v>
      </c>
      <c r="AK95">
        <f>IF(TRIM(AJ95)="","",IF(LOWER(TRIM(AJ95))="one hundred",100,IFERROR(IF(VALUE(SUBSTITUTE(UPPER(TRIM(AJ95)),"GHS",""))&lt;0,"",VALUE(SUBSTITUTE(UPPER(TRIM(AJ95)),"GHS",""))),"")))</f>
        <v>59.98</v>
      </c>
      <c r="AL95" t="s">
        <v>53</v>
      </c>
      <c r="AM95">
        <f t="shared" si="43"/>
        <v>0</v>
      </c>
      <c r="AN95" t="s">
        <v>117</v>
      </c>
      <c r="AO95" t="str">
        <f t="shared" si="44"/>
        <v>Refunded</v>
      </c>
      <c r="AP95">
        <f>IF(OR(MessyClinicPatients[[#This Row],[Clean Total Bill]]="",MessyClinicPatients[[#This Row],[Clean Amount Paid]]=""),"",MessyClinicPatients[[#This Row],[Clean Total Bill]]-MessyClinicPatients[[#This Row],[Clean Amount Paid]])</f>
        <v>59.98</v>
      </c>
      <c r="AQ95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R95" t="s">
        <v>54</v>
      </c>
      <c r="AS95" t="str">
        <f t="shared" si="45"/>
        <v>Dr. Lee</v>
      </c>
      <c r="AT95" t="s">
        <v>159</v>
      </c>
      <c r="AU95" t="str">
        <f t="shared" si="46"/>
        <v>Missing Lab Results</v>
      </c>
    </row>
    <row r="96" spans="1:47" ht="18" customHeight="1">
      <c r="A96" t="s">
        <v>615</v>
      </c>
      <c r="B96" t="str">
        <f t="shared" si="31"/>
        <v>P-0095</v>
      </c>
      <c r="C96" t="s">
        <v>323</v>
      </c>
      <c r="D96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Michael</v>
      </c>
      <c r="E96" t="s">
        <v>120</v>
      </c>
      <c r="F96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Taylor</v>
      </c>
      <c r="H96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96" t="s">
        <v>88</v>
      </c>
      <c r="J96" t="str">
        <f t="shared" si="32"/>
        <v>Female</v>
      </c>
      <c r="L96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96" t="s">
        <v>616</v>
      </c>
      <c r="N96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7544541157</v>
      </c>
      <c r="O96" t="s">
        <v>27</v>
      </c>
      <c r="P96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96" t="s">
        <v>132</v>
      </c>
      <c r="R96" t="str">
        <f t="shared" si="33"/>
        <v>Kano</v>
      </c>
      <c r="S96" t="s">
        <v>617</v>
      </c>
      <c r="T96" s="8">
        <f>IF(S96="","",IF(ISNUMBER(S96),S96,IF(AND(LEN(S96)=10,MID(S96,5,1)="-"),IFERROR(DATE(VALUE(LEFT(S96,4)),VALUE(MID(S96,6,2)),VALUE(RIGHT(S96,2))),"Invalid Date"),IF(AND(LEN(S96)=10,MID(S96,3,1)="/"),IFERROR(DATE(VALUE(RIGHT(S96,4)),VALUE(MID(S96,4,2)),VALUE(LEFT(S96,2))),"Invalid Date"),IF(AND(LEN(S96)=10,MID(S96,5,1)="/"),"Invalid Date",IFERROR(DATE(VALUE(RIGHT(S96,4)),MATCH(LEFT(S96,3),{"Jan","Feb","Mar","Apr","May","Jun","Jul","Aug","Sep","Oct","Nov","Dec"},0),VALUE(MID(S96,5,FIND(",",S96)-5))),"Invalid Date"))))))</f>
        <v>46101</v>
      </c>
      <c r="U96" t="s">
        <v>134</v>
      </c>
      <c r="V96" t="str">
        <f t="shared" si="34"/>
        <v>Follow-up</v>
      </c>
      <c r="W96" t="s">
        <v>195</v>
      </c>
      <c r="X96" t="str">
        <f t="shared" si="35"/>
        <v>Skin Rash</v>
      </c>
      <c r="Z96" t="str">
        <f t="shared" si="36"/>
        <v/>
      </c>
      <c r="AA96" t="str">
        <f t="shared" si="37"/>
        <v>Missing</v>
      </c>
      <c r="AB96" t="s">
        <v>618</v>
      </c>
      <c r="AC96" s="6">
        <f t="shared" si="38"/>
        <v>39.611111111111114</v>
      </c>
      <c r="AD96" s="6" t="str">
        <f t="shared" si="39"/>
        <v>Fahrenheit Converted</v>
      </c>
      <c r="AE96" t="s">
        <v>80</v>
      </c>
      <c r="AF96">
        <f t="shared" si="40"/>
        <v>80</v>
      </c>
      <c r="AG96" t="str">
        <f t="shared" si="41"/>
        <v>Valid</v>
      </c>
      <c r="AH96" t="s">
        <v>49</v>
      </c>
      <c r="AI96" t="str">
        <f t="shared" si="42"/>
        <v>None</v>
      </c>
      <c r="AJ96" s="5" t="s">
        <v>619</v>
      </c>
      <c r="AK96">
        <f>IF(TRIM(AJ96)="","",IF(LOWER(TRIM(AJ96))="one hundred",100,IFERROR(IF(VALUE(SUBSTITUTE(UPPER(TRIM(AJ96)),"GHS",""))&lt;0,"",VALUE(SUBSTITUTE(UPPER(TRIM(AJ96)),"GHS",""))),"")))</f>
        <v>139.01</v>
      </c>
      <c r="AM96" t="str">
        <f t="shared" si="43"/>
        <v/>
      </c>
      <c r="AN96" t="s">
        <v>68</v>
      </c>
      <c r="AO96" t="str">
        <f t="shared" si="44"/>
        <v>Paid</v>
      </c>
      <c r="AP96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96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96" t="s">
        <v>39</v>
      </c>
      <c r="AS96" t="str">
        <f t="shared" si="45"/>
        <v>Dr. Okoro</v>
      </c>
      <c r="AT96" t="s">
        <v>274</v>
      </c>
      <c r="AU96" t="str">
        <f t="shared" si="46"/>
        <v>Repeated Record?</v>
      </c>
    </row>
    <row r="97" spans="1:47" ht="18" customHeight="1">
      <c r="A97" t="s">
        <v>620</v>
      </c>
      <c r="B97" t="str">
        <f t="shared" si="31"/>
        <v>P-0096</v>
      </c>
      <c r="C97" t="s">
        <v>541</v>
      </c>
      <c r="D97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Hannah</v>
      </c>
      <c r="E97" t="s">
        <v>174</v>
      </c>
      <c r="F97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Addo</v>
      </c>
      <c r="G97" s="9">
        <v>-3</v>
      </c>
      <c r="H97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97" t="s">
        <v>59</v>
      </c>
      <c r="J97" t="str">
        <f t="shared" si="32"/>
        <v>Female</v>
      </c>
      <c r="L97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97" t="s">
        <v>61</v>
      </c>
      <c r="N97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Invalid Phone</v>
      </c>
      <c r="P97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97" t="s">
        <v>28</v>
      </c>
      <c r="R97" t="str">
        <f t="shared" si="33"/>
        <v>Ibadan</v>
      </c>
      <c r="T97" s="8" t="str">
        <f>IF(S97="","",IF(ISNUMBER(S97),S97,IF(AND(LEN(S97)=10,MID(S97,5,1)="-"),IFERROR(DATE(VALUE(LEFT(S97,4)),VALUE(MID(S97,6,2)),VALUE(RIGHT(S97,2))),"Invalid Date"),IF(AND(LEN(S97)=10,MID(S97,3,1)="/"),IFERROR(DATE(VALUE(RIGHT(S97,4)),VALUE(MID(S97,4,2)),VALUE(LEFT(S97,2))),"Invalid Date"),IF(AND(LEN(S97)=10,MID(S97,5,1)="/"),"Invalid Date",IFERROR(DATE(VALUE(RIGHT(S97,4)),MATCH(LEFT(S97,3),{"Jan","Feb","Mar","Apr","May","Jun","Jul","Aug","Sep","Oct","Nov","Dec"},0),VALUE(MID(S97,5,FIND(",",S97)-5))),"Invalid Date"))))))</f>
        <v/>
      </c>
      <c r="U97" t="s">
        <v>296</v>
      </c>
      <c r="V97" t="str">
        <f t="shared" si="34"/>
        <v>Lab Test</v>
      </c>
      <c r="W97" t="s">
        <v>78</v>
      </c>
      <c r="X97" t="str">
        <f t="shared" si="35"/>
        <v>Back Pain</v>
      </c>
      <c r="Y97" t="s">
        <v>621</v>
      </c>
      <c r="Z97" t="str">
        <f t="shared" si="36"/>
        <v/>
      </c>
      <c r="AA97" t="str">
        <f t="shared" si="37"/>
        <v>Missing</v>
      </c>
      <c r="AB97" t="s">
        <v>622</v>
      </c>
      <c r="AC97" s="6">
        <f t="shared" si="38"/>
        <v>35.555555555555557</v>
      </c>
      <c r="AD97" s="6" t="str">
        <f t="shared" si="39"/>
        <v>Fahrenheit Converted</v>
      </c>
      <c r="AE97" t="s">
        <v>238</v>
      </c>
      <c r="AF97" t="str">
        <f t="shared" si="40"/>
        <v/>
      </c>
      <c r="AG97" t="str">
        <f t="shared" si="41"/>
        <v>Missing</v>
      </c>
      <c r="AH97" t="s">
        <v>114</v>
      </c>
      <c r="AI97" t="str">
        <f t="shared" si="42"/>
        <v>NHIS</v>
      </c>
      <c r="AJ97" s="5" t="s">
        <v>623</v>
      </c>
      <c r="AK97">
        <f>IF(TRIM(AJ97)="","",IF(LOWER(TRIM(AJ97))="one hundred",100,IFERROR(IF(VALUE(SUBSTITUTE(UPPER(TRIM(AJ97)),"GHS",""))&lt;0,"",VALUE(SUBSTITUTE(UPPER(TRIM(AJ97)),"GHS",""))),"")))</f>
        <v>177.73</v>
      </c>
      <c r="AL97" t="s">
        <v>624</v>
      </c>
      <c r="AM97">
        <f t="shared" si="43"/>
        <v>13.27</v>
      </c>
      <c r="AN97" t="s">
        <v>117</v>
      </c>
      <c r="AO97" t="str">
        <f t="shared" si="44"/>
        <v>Refunded</v>
      </c>
      <c r="AP97">
        <f>IF(OR(MessyClinicPatients[[#This Row],[Clean Total Bill]]="",MessyClinicPatients[[#This Row],[Clean Amount Paid]]=""),"",MessyClinicPatients[[#This Row],[Clean Total Bill]]-MessyClinicPatients[[#This Row],[Clean Amount Paid]])</f>
        <v>164.45999999999998</v>
      </c>
      <c r="AQ97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97" t="s">
        <v>39</v>
      </c>
      <c r="AS97" t="str">
        <f t="shared" si="45"/>
        <v>Dr. Okoro</v>
      </c>
      <c r="AU97" t="str">
        <f t="shared" si="46"/>
        <v/>
      </c>
    </row>
    <row r="98" spans="1:47" ht="18" customHeight="1">
      <c r="B98" t="str">
        <f t="shared" ref="B98:B129" si="47">IF(TRIM(A98)="","",IFERROR("P-"&amp;TEXT(VALUE(SUBSTITUTE(SUBSTITUTE(SUBSTITUTE(UPPER(TRIM(A98)),"PAT",""),"P-",""),"P","")),"0000"),""))</f>
        <v/>
      </c>
      <c r="C98" t="s">
        <v>42</v>
      </c>
      <c r="D98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Mary</v>
      </c>
      <c r="E98" t="s">
        <v>475</v>
      </c>
      <c r="F98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Ndlovu</v>
      </c>
      <c r="G98" t="s">
        <v>24</v>
      </c>
      <c r="H98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98" t="s">
        <v>88</v>
      </c>
      <c r="J98" t="str">
        <f t="shared" ref="J98:J129" si="48">IF(OR(LOWER(TRIM(I98))="f",LOWER(TRIM(I98))="femal",LOWER(TRIM(I98))="female"),"Female",IF(OR(LOWER(TRIM(I98))="m",LOWER(TRIM(I98))="mal",LOWER(TRIM(I98))="male"),"Male",IF(LOWER(TRIM(I98))="other","Other","")))</f>
        <v>Female</v>
      </c>
      <c r="L98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98" t="s">
        <v>625</v>
      </c>
      <c r="N98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3511935066</v>
      </c>
      <c r="O98" t="s">
        <v>626</v>
      </c>
      <c r="P98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mary_ndlovu@clinicmail.org</v>
      </c>
      <c r="Q98" t="s">
        <v>222</v>
      </c>
      <c r="R98" t="str">
        <f t="shared" ref="R98:R129" si="49">IF(TRIM(Q98)="","",TRIM(Q98))</f>
        <v>Abuja</v>
      </c>
      <c r="S98" t="s">
        <v>627</v>
      </c>
      <c r="T98" s="8">
        <f>IF(S98="","",IF(ISNUMBER(S98),S98,IF(AND(LEN(S98)=10,MID(S98,5,1)="-"),IFERROR(DATE(VALUE(LEFT(S98,4)),VALUE(MID(S98,6,2)),VALUE(RIGHT(S98,2))),"Invalid Date"),IF(AND(LEN(S98)=10,MID(S98,3,1)="/"),IFERROR(DATE(VALUE(RIGHT(S98,4)),VALUE(MID(S98,4,2)),VALUE(LEFT(S98,2))),"Invalid Date"),IF(AND(LEN(S98)=10,MID(S98,5,1)="/"),"Invalid Date",IFERROR(DATE(VALUE(RIGHT(S98,4)),MATCH(LEFT(S98,3),{"Jan","Feb","Mar","Apr","May","Jun","Jul","Aug","Sep","Oct","Nov","Dec"},0),VALUE(MID(S98,5,FIND(",",S98)-5))),"Invalid Date"))))))</f>
        <v>46035</v>
      </c>
      <c r="U98" t="s">
        <v>111</v>
      </c>
      <c r="V98" t="str">
        <f t="shared" ref="V98:V129" si="50">IF(TRIM(U98)="","",IF(OR(LOWER(TRIM(U98))="consult",LOWER(TRIM(U98))="consultation"),"Consultation",IF(OR(LOWER(TRIM(U98))="follow up",LOWER(TRIM(U98))="follow-up"),"Follow-up",PROPER(TRIM(U98)))))</f>
        <v>Follow-up</v>
      </c>
      <c r="W98" t="s">
        <v>155</v>
      </c>
      <c r="X98" t="str">
        <f t="shared" ref="X98:X129" si="51">IF(TRIM(W98)="","",IF(UPPER(TRIM(W98))="COVID-19","COVID-19",PROPER(TRIM(W98))))</f>
        <v>Migraine</v>
      </c>
      <c r="Y98" t="s">
        <v>628</v>
      </c>
      <c r="Z98" t="str">
        <f t="shared" ref="Z98:Z129" si="52">IF(TRIM(Y98)="","",IF(LOWER(TRIM(Y98))="high","",IF(ISNUMBER(SEARCH("/",TRIM(Y98))),TRIM(Y98),IF(ISNUMBER(SEARCH("-",TRIM(Y98))),SUBSTITUTE(TRIM(Y98),"-","/"),""))))</f>
        <v/>
      </c>
      <c r="AA98" t="str">
        <f t="shared" ref="AA98:AA129" si="53">IF(Z98="","Missing",IFERROR(IF(AND(VALUE(LEFT(Z98,FIND("/",Z98)-1))&gt;=70,VALUE(LEFT(Z98,FIND("/",Z98)-1))&lt;=250,VALUE(MID(Z98,FIND("/",Z98)+1,99))&gt;=40,VALUE(MID(Z98,FIND("/",Z98)+1,99))&lt;=150),"Valid","Invalid Blood Pressure"),"Invalid Blood Pressure"))</f>
        <v>Missing</v>
      </c>
      <c r="AC98" s="6" t="str">
        <f t="shared" si="38"/>
        <v/>
      </c>
      <c r="AD98" s="6" t="str">
        <f t="shared" ref="AD98:AD129" si="54">IF(AB98="","Missing",IF(LOWER(TRIM(AB98&amp;""))="normal","Missing",IFERROR(IF(VALUE(AB98)&gt;=90,"Fahrenheit Converted","Valid"),"Invalid Temperature")))</f>
        <v>Missing</v>
      </c>
      <c r="AE98" t="s">
        <v>629</v>
      </c>
      <c r="AF98" t="str">
        <f t="shared" ref="AF98:AF129" si="55">IF(TRIM(AE98)="","",IF(LOWER(TRIM(AE98))="eighty",80,IFERROR(IF(AND(VALUE(AE98)&gt;=30,VALUE(AE98)&lt;=250),VALUE(AE98),""),"")))</f>
        <v/>
      </c>
      <c r="AG98" t="str">
        <f t="shared" ref="AG98:AG129" si="56">IF(AF98="","Missing",IF(AF98&lt;=0,"Invalid Weight",IF(AF98&gt;250,"Implausible Weight","Valid")))</f>
        <v>Missing</v>
      </c>
      <c r="AH98" t="s">
        <v>93</v>
      </c>
      <c r="AI98" t="str">
        <f t="shared" ref="AI98:AI129" si="57">IF(OR(TRIM(AH98)="",UPPER(TRIM(AH98))="N/A"),"",IF(UPPER(TRIM(AH98))="NHIS","NHIS",IF(UPPER(TRIM(AH98))="PRIVATE","Private",IF(UPPER(TRIM(AH98))="CORPORATE","Corporate",IF(LOWER(TRIM(AH98))="nhis","NHIS",IF(UPPER(TRIM(AH98))="NONE","None",""))))))</f>
        <v>Private</v>
      </c>
      <c r="AJ98" s="5" t="s">
        <v>630</v>
      </c>
      <c r="AK98">
        <f>IF(TRIM(AJ98)="","",IF(LOWER(TRIM(AJ98))="one hundred",100,IFERROR(IF(VALUE(SUBSTITUTE(UPPER(TRIM(AJ98)),"GHS",""))&lt;0,"",VALUE(SUBSTITUTE(UPPER(TRIM(AJ98)),"GHS",""))),"")))</f>
        <v>170.9</v>
      </c>
      <c r="AL98" t="s">
        <v>630</v>
      </c>
      <c r="AM98">
        <f t="shared" ref="AM98:AM129" si="58">IF(TRIM(AL98)="","",IF(LOWER(TRIM(AL98))="one hundred",100,IFERROR(IF(VALUE(AL98)&lt;0,"",VALUE(AL98)),"")))</f>
        <v>170.9</v>
      </c>
      <c r="AN98" t="s">
        <v>38</v>
      </c>
      <c r="AO98" t="str">
        <f t="shared" ref="AO98:AO129" si="59">IF(TRIM(AN98)="","",PROPER(TRIM(AN98)))</f>
        <v>Partially Paid</v>
      </c>
      <c r="AP98">
        <f>IF(OR(MessyClinicPatients[[#This Row],[Clean Total Bill]]="",MessyClinicPatients[[#This Row],[Clean Amount Paid]]=""),"",MessyClinicPatients[[#This Row],[Clean Total Bill]]-MessyClinicPatients[[#This Row],[Clean Amount Paid]])</f>
        <v>0</v>
      </c>
      <c r="AQ98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98" t="s">
        <v>39</v>
      </c>
      <c r="AS98" t="str">
        <f t="shared" ref="AS98:AS129" si="60">IF(TRIM(AR98)="","",IF(ISNUMBER(SEARCH("NURSE",UPPER(TRIM(AR98)))),"Nurse "&amp;PROPER(TRIM(SUBSTITUTE(UPPER(TRIM(AR98)),"NURSE",""))),"Dr. "&amp;PROPER(TRIM(SUBSTITUTE(SUBSTITUTE(UPPER(TRIM(AR98)),"DR.",""),"DR","")))))</f>
        <v>Dr. Okoro</v>
      </c>
      <c r="AT98" t="s">
        <v>40</v>
      </c>
      <c r="AU98" t="str">
        <f t="shared" ref="AU98:AU129" si="61">IF(TRIM(AT98)="","",PROPER(TRIM(AT98)))</f>
        <v>Needs Follow-Up</v>
      </c>
    </row>
    <row r="99" spans="1:47" ht="18" customHeight="1">
      <c r="A99" t="s">
        <v>631</v>
      </c>
      <c r="B99" t="str">
        <f t="shared" si="47"/>
        <v>P-0098</v>
      </c>
      <c r="C99" t="s">
        <v>218</v>
      </c>
      <c r="D99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Ama</v>
      </c>
      <c r="E99" t="s">
        <v>140</v>
      </c>
      <c r="F99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Smith</v>
      </c>
      <c r="G99" s="9">
        <v>-3</v>
      </c>
      <c r="H99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99" t="s">
        <v>151</v>
      </c>
      <c r="J99" t="str">
        <f t="shared" si="48"/>
        <v>Male</v>
      </c>
      <c r="L99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99" t="s">
        <v>632</v>
      </c>
      <c r="N99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0243055673</v>
      </c>
      <c r="O99" t="s">
        <v>27</v>
      </c>
      <c r="P99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R99" t="str">
        <f t="shared" si="49"/>
        <v/>
      </c>
      <c r="T99" s="8" t="str">
        <f>IF(S99="","",IF(ISNUMBER(S99),S99,IF(AND(LEN(S99)=10,MID(S99,5,1)="-"),IFERROR(DATE(VALUE(LEFT(S99,4)),VALUE(MID(S99,6,2)),VALUE(RIGHT(S99,2))),"Invalid Date"),IF(AND(LEN(S99)=10,MID(S99,3,1)="/"),IFERROR(DATE(VALUE(RIGHT(S99,4)),VALUE(MID(S99,4,2)),VALUE(LEFT(S99,2))),"Invalid Date"),IF(AND(LEN(S99)=10,MID(S99,5,1)="/"),"Invalid Date",IFERROR(DATE(VALUE(RIGHT(S99,4)),MATCH(LEFT(S99,3),{"Jan","Feb","Mar","Apr","May","Jun","Jul","Aug","Sep","Oct","Nov","Dec"},0),VALUE(MID(S99,5,FIND(",",S99)-5))),"Invalid Date"))))))</f>
        <v/>
      </c>
      <c r="U99" t="s">
        <v>30</v>
      </c>
      <c r="V99" t="str">
        <f t="shared" si="50"/>
        <v>Vaccination</v>
      </c>
      <c r="W99" t="s">
        <v>78</v>
      </c>
      <c r="X99" t="str">
        <f t="shared" si="51"/>
        <v>Back Pain</v>
      </c>
      <c r="Y99" t="s">
        <v>145</v>
      </c>
      <c r="Z99" t="str">
        <f t="shared" si="52"/>
        <v>120/80</v>
      </c>
      <c r="AA99" t="str">
        <f t="shared" si="53"/>
        <v>Valid</v>
      </c>
      <c r="AC99" s="6" t="str">
        <f t="shared" si="38"/>
        <v/>
      </c>
      <c r="AD99" s="6" t="str">
        <f t="shared" si="54"/>
        <v>Missing</v>
      </c>
      <c r="AE99" t="s">
        <v>204</v>
      </c>
      <c r="AF99" t="str">
        <f t="shared" si="55"/>
        <v/>
      </c>
      <c r="AG99" t="str">
        <f t="shared" si="56"/>
        <v>Missing</v>
      </c>
      <c r="AI99" t="str">
        <f t="shared" si="57"/>
        <v/>
      </c>
      <c r="AJ99" s="5" t="s">
        <v>156</v>
      </c>
      <c r="AK99">
        <f>IF(TRIM(AJ99)="","",IF(LOWER(TRIM(AJ99))="one hundred",100,IFERROR(IF(VALUE(SUBSTITUTE(UPPER(TRIM(AJ99)),"GHS",""))&lt;0,"",VALUE(SUBSTITUTE(UPPER(TRIM(AJ99)),"GHS",""))),"")))</f>
        <v>37.1</v>
      </c>
      <c r="AL99" t="s">
        <v>633</v>
      </c>
      <c r="AM99">
        <f t="shared" si="58"/>
        <v>25.35</v>
      </c>
      <c r="AN99" t="s">
        <v>68</v>
      </c>
      <c r="AO99" t="str">
        <f t="shared" si="59"/>
        <v>Paid</v>
      </c>
      <c r="AP99">
        <f>IF(OR(MessyClinicPatients[[#This Row],[Clean Total Bill]]="",MessyClinicPatients[[#This Row],[Clean Amount Paid]]=""),"",MessyClinicPatients[[#This Row],[Clean Total Bill]]-MessyClinicPatients[[#This Row],[Clean Amount Paid]])</f>
        <v>11.75</v>
      </c>
      <c r="AQ99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99" t="s">
        <v>148</v>
      </c>
      <c r="AS99" t="str">
        <f t="shared" si="60"/>
        <v>Dr. Mensah</v>
      </c>
      <c r="AT99" t="s">
        <v>97</v>
      </c>
      <c r="AU99" t="str">
        <f t="shared" si="61"/>
        <v>Patient Came Late</v>
      </c>
    </row>
    <row r="100" spans="1:47" ht="18" customHeight="1">
      <c r="A100" t="s">
        <v>634</v>
      </c>
      <c r="B100" t="str">
        <f t="shared" si="47"/>
        <v>P-1099</v>
      </c>
      <c r="C100" t="s">
        <v>42</v>
      </c>
      <c r="D100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Mary</v>
      </c>
      <c r="E100" t="s">
        <v>57</v>
      </c>
      <c r="F100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Ali</v>
      </c>
      <c r="H100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J100" t="str">
        <f t="shared" si="48"/>
        <v/>
      </c>
      <c r="L100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00" t="s">
        <v>635</v>
      </c>
      <c r="N100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+233243049614</v>
      </c>
      <c r="P100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100" t="s">
        <v>63</v>
      </c>
      <c r="R100" t="str">
        <f t="shared" si="49"/>
        <v>Tamale</v>
      </c>
      <c r="S100" t="s">
        <v>92</v>
      </c>
      <c r="T100" s="8" t="str">
        <f>IF(S100="","",IF(ISNUMBER(S100),S100,IF(AND(LEN(S100)=10,MID(S100,5,1)="-"),IFERROR(DATE(VALUE(LEFT(S100,4)),VALUE(MID(S100,6,2)),VALUE(RIGHT(S100,2))),"Invalid Date"),IF(AND(LEN(S100)=10,MID(S100,3,1)="/"),IFERROR(DATE(VALUE(RIGHT(S100,4)),VALUE(MID(S100,4,2)),VALUE(LEFT(S100,2))),"Invalid Date"),IF(AND(LEN(S100)=10,MID(S100,5,1)="/"),"Invalid Date",IFERROR(DATE(VALUE(RIGHT(S100,4)),MATCH(LEFT(S100,3),{"Jan","Feb","Mar","Apr","May","Jun","Jul","Aug","Sep","Oct","Nov","Dec"},0),VALUE(MID(S100,5,FIND(",",S100)-5))),"Invalid Date"))))))</f>
        <v>Invalid Date</v>
      </c>
      <c r="U100" t="s">
        <v>102</v>
      </c>
      <c r="V100" t="str">
        <f t="shared" si="50"/>
        <v>Consultation</v>
      </c>
      <c r="W100" t="s">
        <v>224</v>
      </c>
      <c r="X100" t="str">
        <f t="shared" si="51"/>
        <v>Diabetes</v>
      </c>
      <c r="Z100" t="str">
        <f t="shared" si="52"/>
        <v/>
      </c>
      <c r="AA100" t="str">
        <f t="shared" si="53"/>
        <v>Missing</v>
      </c>
      <c r="AC100" s="6" t="str">
        <f t="shared" si="38"/>
        <v/>
      </c>
      <c r="AD100" s="6" t="str">
        <f t="shared" si="54"/>
        <v>Missing</v>
      </c>
      <c r="AE100" t="s">
        <v>80</v>
      </c>
      <c r="AF100">
        <f t="shared" si="55"/>
        <v>80</v>
      </c>
      <c r="AG100" t="str">
        <f t="shared" si="56"/>
        <v>Valid</v>
      </c>
      <c r="AH100" t="s">
        <v>35</v>
      </c>
      <c r="AI100" t="str">
        <f t="shared" si="57"/>
        <v>Corporate</v>
      </c>
      <c r="AJ100" s="5" t="s">
        <v>636</v>
      </c>
      <c r="AK100">
        <f>IF(TRIM(AJ100)="","",IF(LOWER(TRIM(AJ100))="one hundred",100,IFERROR(IF(VALUE(SUBSTITUTE(UPPER(TRIM(AJ100)),"GHS",""))&lt;0,"",VALUE(SUBSTITUTE(UPPER(TRIM(AJ100)),"GHS",""))),"")))</f>
        <v>473.23</v>
      </c>
      <c r="AL100" t="s">
        <v>37</v>
      </c>
      <c r="AM100">
        <f t="shared" si="58"/>
        <v>100</v>
      </c>
      <c r="AN100" t="s">
        <v>147</v>
      </c>
      <c r="AO100" t="str">
        <f t="shared" si="59"/>
        <v>Paid</v>
      </c>
      <c r="AP100">
        <f>IF(OR(MessyClinicPatients[[#This Row],[Clean Total Bill]]="",MessyClinicPatients[[#This Row],[Clean Amount Paid]]=""),"",MessyClinicPatients[[#This Row],[Clean Total Bill]]-MessyClinicPatients[[#This Row],[Clean Amount Paid]])</f>
        <v>373.23</v>
      </c>
      <c r="AQ100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100" t="s">
        <v>54</v>
      </c>
      <c r="AS100" t="str">
        <f t="shared" si="60"/>
        <v>Dr. Lee</v>
      </c>
      <c r="AU100" t="str">
        <f t="shared" si="61"/>
        <v/>
      </c>
    </row>
    <row r="101" spans="1:47" ht="18" customHeight="1">
      <c r="A101" t="s">
        <v>637</v>
      </c>
      <c r="B101" t="str">
        <f t="shared" si="47"/>
        <v>P-0100</v>
      </c>
      <c r="C101" t="s">
        <v>56</v>
      </c>
      <c r="D101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Ibrahim</v>
      </c>
      <c r="E101" t="s">
        <v>162</v>
      </c>
      <c r="F101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Johnson</v>
      </c>
      <c r="G101" s="9">
        <v>130</v>
      </c>
      <c r="H101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101" t="s">
        <v>234</v>
      </c>
      <c r="J101" t="str">
        <f t="shared" si="48"/>
        <v>Male</v>
      </c>
      <c r="L101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01" t="s">
        <v>638</v>
      </c>
      <c r="N101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0247516648</v>
      </c>
      <c r="O101" t="s">
        <v>639</v>
      </c>
      <c r="P101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ibrahim_johnson@clinicmail.org</v>
      </c>
      <c r="Q101" t="s">
        <v>91</v>
      </c>
      <c r="R101" t="str">
        <f t="shared" si="49"/>
        <v>Lagos</v>
      </c>
      <c r="S101" t="s">
        <v>640</v>
      </c>
      <c r="T101" s="8">
        <f>IF(S101="","",IF(ISNUMBER(S101),S101,IF(AND(LEN(S101)=10,MID(S101,5,1)="-"),IFERROR(DATE(VALUE(LEFT(S101,4)),VALUE(MID(S101,6,2)),VALUE(RIGHT(S101,2))),"Invalid Date"),IF(AND(LEN(S101)=10,MID(S101,3,1)="/"),IFERROR(DATE(VALUE(RIGHT(S101,4)),VALUE(MID(S101,4,2)),VALUE(LEFT(S101,2))),"Invalid Date"),IF(AND(LEN(S101)=10,MID(S101,5,1)="/"),"Invalid Date",IFERROR(DATE(VALUE(RIGHT(S101,4)),MATCH(LEFT(S101,3),{"Jan","Feb","Mar","Apr","May","Jun","Jul","Aug","Sep","Oct","Nov","Dec"},0),VALUE(MID(S101,5,FIND(",",S101)-5))),"Invalid Date"))))))</f>
        <v>46104</v>
      </c>
      <c r="U101" t="s">
        <v>144</v>
      </c>
      <c r="V101" t="str">
        <f t="shared" si="50"/>
        <v>Consultation</v>
      </c>
      <c r="W101" t="s">
        <v>412</v>
      </c>
      <c r="X101" t="str">
        <f t="shared" si="51"/>
        <v>Asthma</v>
      </c>
      <c r="Y101" t="s">
        <v>145</v>
      </c>
      <c r="Z101" t="str">
        <f t="shared" si="52"/>
        <v>120/80</v>
      </c>
      <c r="AA101" t="str">
        <f t="shared" si="53"/>
        <v>Valid</v>
      </c>
      <c r="AB101" t="s">
        <v>591</v>
      </c>
      <c r="AC101" s="6">
        <f t="shared" si="38"/>
        <v>35.944444444444443</v>
      </c>
      <c r="AD101" s="6" t="str">
        <f t="shared" si="54"/>
        <v>Fahrenheit Converted</v>
      </c>
      <c r="AF101" t="str">
        <f t="shared" si="55"/>
        <v/>
      </c>
      <c r="AG101" t="str">
        <f t="shared" si="56"/>
        <v>Missing</v>
      </c>
      <c r="AH101" t="s">
        <v>35</v>
      </c>
      <c r="AI101" t="str">
        <f t="shared" si="57"/>
        <v>Corporate</v>
      </c>
      <c r="AJ101" s="5" t="s">
        <v>641</v>
      </c>
      <c r="AK101">
        <f>IF(TRIM(AJ101)="","",IF(LOWER(TRIM(AJ101))="one hundred",100,IFERROR(IF(VALUE(SUBSTITUTE(UPPER(TRIM(AJ101)),"GHS",""))&lt;0,"",VALUE(SUBSTITUTE(UPPER(TRIM(AJ101)),"GHS",""))),"")))</f>
        <v>550.11</v>
      </c>
      <c r="AL101" t="s">
        <v>116</v>
      </c>
      <c r="AM101" t="str">
        <f t="shared" si="58"/>
        <v/>
      </c>
      <c r="AN101" t="s">
        <v>68</v>
      </c>
      <c r="AO101" t="str">
        <f t="shared" si="59"/>
        <v>Paid</v>
      </c>
      <c r="AP101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101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101" t="s">
        <v>148</v>
      </c>
      <c r="AS101" t="str">
        <f t="shared" si="60"/>
        <v>Dr. Mensah</v>
      </c>
      <c r="AT101" t="s">
        <v>274</v>
      </c>
      <c r="AU101" t="str">
        <f t="shared" si="61"/>
        <v>Repeated Record?</v>
      </c>
    </row>
    <row r="102" spans="1:47" ht="18" customHeight="1">
      <c r="A102" t="s">
        <v>642</v>
      </c>
      <c r="B102" t="str">
        <f t="shared" si="47"/>
        <v>P-0101</v>
      </c>
      <c r="C102" t="s">
        <v>233</v>
      </c>
      <c r="D102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Joseph</v>
      </c>
      <c r="E102" t="s">
        <v>394</v>
      </c>
      <c r="F102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Eze</v>
      </c>
      <c r="H102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J102" t="str">
        <f t="shared" si="48"/>
        <v/>
      </c>
      <c r="L102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N102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102" t="s">
        <v>643</v>
      </c>
      <c r="P102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R102" t="str">
        <f t="shared" si="49"/>
        <v/>
      </c>
      <c r="S102" t="s">
        <v>92</v>
      </c>
      <c r="T102" s="8" t="str">
        <f>IF(S102="","",IF(ISNUMBER(S102),S102,IF(AND(LEN(S102)=10,MID(S102,5,1)="-"),IFERROR(DATE(VALUE(LEFT(S102,4)),VALUE(MID(S102,6,2)),VALUE(RIGHT(S102,2))),"Invalid Date"),IF(AND(LEN(S102)=10,MID(S102,3,1)="/"),IFERROR(DATE(VALUE(RIGHT(S102,4)),VALUE(MID(S102,4,2)),VALUE(LEFT(S102,2))),"Invalid Date"),IF(AND(LEN(S102)=10,MID(S102,5,1)="/"),"Invalid Date",IFERROR(DATE(VALUE(RIGHT(S102,4)),MATCH(LEFT(S102,3),{"Jan","Feb","Mar","Apr","May","Jun","Jul","Aug","Sep","Oct","Nov","Dec"},0),VALUE(MID(S102,5,FIND(",",S102)-5))),"Invalid Date"))))))</f>
        <v>Invalid Date</v>
      </c>
      <c r="U102" t="s">
        <v>102</v>
      </c>
      <c r="V102" t="str">
        <f t="shared" si="50"/>
        <v>Consultation</v>
      </c>
      <c r="W102" t="s">
        <v>31</v>
      </c>
      <c r="X102" t="str">
        <f t="shared" si="51"/>
        <v>Malaria</v>
      </c>
      <c r="Y102" t="s">
        <v>644</v>
      </c>
      <c r="Z102" t="str">
        <f t="shared" si="52"/>
        <v>179/85</v>
      </c>
      <c r="AA102" t="str">
        <f t="shared" si="53"/>
        <v>Valid</v>
      </c>
      <c r="AC102" s="6" t="str">
        <f t="shared" si="38"/>
        <v/>
      </c>
      <c r="AD102" s="6" t="str">
        <f t="shared" si="54"/>
        <v>Missing</v>
      </c>
      <c r="AE102" t="s">
        <v>238</v>
      </c>
      <c r="AF102" t="str">
        <f t="shared" si="55"/>
        <v/>
      </c>
      <c r="AG102" t="str">
        <f t="shared" si="56"/>
        <v>Missing</v>
      </c>
      <c r="AH102" t="s">
        <v>51</v>
      </c>
      <c r="AI102" t="str">
        <f t="shared" si="57"/>
        <v>Private</v>
      </c>
      <c r="AJ102" s="5" t="s">
        <v>645</v>
      </c>
      <c r="AK102">
        <f>IF(TRIM(AJ102)="","",IF(LOWER(TRIM(AJ102))="one hundred",100,IFERROR(IF(VALUE(SUBSTITUTE(UPPER(TRIM(AJ102)),"GHS",""))&lt;0,"",VALUE(SUBSTITUTE(UPPER(TRIM(AJ102)),"GHS",""))),"")))</f>
        <v>519.19000000000005</v>
      </c>
      <c r="AL102" t="s">
        <v>53</v>
      </c>
      <c r="AM102">
        <f t="shared" si="58"/>
        <v>0</v>
      </c>
      <c r="AN102" t="s">
        <v>95</v>
      </c>
      <c r="AO102" t="str">
        <f t="shared" si="59"/>
        <v>Pending</v>
      </c>
      <c r="AP102">
        <f>IF(OR(MessyClinicPatients[[#This Row],[Clean Total Bill]]="",MessyClinicPatients[[#This Row],[Clean Amount Paid]]=""),"",MessyClinicPatients[[#This Row],[Clean Total Bill]]-MessyClinicPatients[[#This Row],[Clean Amount Paid]])</f>
        <v>519.19000000000005</v>
      </c>
      <c r="AQ102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R102" t="s">
        <v>96</v>
      </c>
      <c r="AS102" t="str">
        <f t="shared" si="60"/>
        <v>Nurse Amina</v>
      </c>
      <c r="AT102" t="s">
        <v>159</v>
      </c>
      <c r="AU102" t="str">
        <f t="shared" si="61"/>
        <v>Missing Lab Results</v>
      </c>
    </row>
    <row r="103" spans="1:47" ht="18" customHeight="1">
      <c r="A103" t="s">
        <v>646</v>
      </c>
      <c r="B103" t="str">
        <f t="shared" si="47"/>
        <v>P-0102</v>
      </c>
      <c r="C103" t="s">
        <v>200</v>
      </c>
      <c r="D103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Musa</v>
      </c>
      <c r="E103" t="s">
        <v>461</v>
      </c>
      <c r="F103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Brown</v>
      </c>
      <c r="H103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103" t="s">
        <v>163</v>
      </c>
      <c r="J103" t="str">
        <f t="shared" si="48"/>
        <v>Male</v>
      </c>
      <c r="L103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03" t="s">
        <v>647</v>
      </c>
      <c r="N103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0247569981</v>
      </c>
      <c r="P103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103" t="s">
        <v>289</v>
      </c>
      <c r="R103" t="str">
        <f t="shared" si="49"/>
        <v>Enugu</v>
      </c>
      <c r="S103" t="s">
        <v>648</v>
      </c>
      <c r="T103" s="8">
        <f>IF(S103="","",IF(ISNUMBER(S103),S103,IF(AND(LEN(S103)=10,MID(S103,5,1)="-"),IFERROR(DATE(VALUE(LEFT(S103,4)),VALUE(MID(S103,6,2)),VALUE(RIGHT(S103,2))),"Invalid Date"),IF(AND(LEN(S103)=10,MID(S103,3,1)="/"),IFERROR(DATE(VALUE(RIGHT(S103,4)),VALUE(MID(S103,4,2)),VALUE(LEFT(S103,2))),"Invalid Date"),IF(AND(LEN(S103)=10,MID(S103,5,1)="/"),"Invalid Date",IFERROR(DATE(VALUE(RIGHT(S103,4)),MATCH(LEFT(S103,3),{"Jan","Feb","Mar","Apr","May","Jun","Jul","Aug","Sep","Oct","Nov","Dec"},0),VALUE(MID(S103,5,FIND(",",S103)-5))),"Invalid Date"))))))</f>
        <v>46179</v>
      </c>
      <c r="U103" t="s">
        <v>144</v>
      </c>
      <c r="V103" t="str">
        <f t="shared" si="50"/>
        <v>Consultation</v>
      </c>
      <c r="W103" t="s">
        <v>229</v>
      </c>
      <c r="X103" t="str">
        <f t="shared" si="51"/>
        <v>Flu</v>
      </c>
      <c r="Y103" t="s">
        <v>649</v>
      </c>
      <c r="Z103" t="str">
        <f t="shared" si="52"/>
        <v>113/81</v>
      </c>
      <c r="AA103" t="str">
        <f t="shared" si="53"/>
        <v>Valid</v>
      </c>
      <c r="AC103" s="6" t="str">
        <f t="shared" si="38"/>
        <v/>
      </c>
      <c r="AD103" s="6" t="str">
        <f t="shared" si="54"/>
        <v>Missing</v>
      </c>
      <c r="AE103" t="s">
        <v>650</v>
      </c>
      <c r="AF103">
        <f t="shared" si="55"/>
        <v>77.400000000000006</v>
      </c>
      <c r="AG103" t="str">
        <f t="shared" si="56"/>
        <v>Valid</v>
      </c>
      <c r="AH103" t="s">
        <v>35</v>
      </c>
      <c r="AI103" t="str">
        <f t="shared" si="57"/>
        <v>Corporate</v>
      </c>
      <c r="AJ103" s="5" t="s">
        <v>651</v>
      </c>
      <c r="AK103">
        <f>IF(TRIM(AJ103)="","",IF(LOWER(TRIM(AJ103))="one hundred",100,IFERROR(IF(VALUE(SUBSTITUTE(UPPER(TRIM(AJ103)),"GHS",""))&lt;0,"",VALUE(SUBSTITUTE(UPPER(TRIM(AJ103)),"GHS",""))),"")))</f>
        <v>391</v>
      </c>
      <c r="AM103" t="str">
        <f t="shared" si="58"/>
        <v/>
      </c>
      <c r="AN103" t="s">
        <v>147</v>
      </c>
      <c r="AO103" t="str">
        <f t="shared" si="59"/>
        <v>Paid</v>
      </c>
      <c r="AP103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103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103" t="s">
        <v>69</v>
      </c>
      <c r="AS103" t="str">
        <f t="shared" si="60"/>
        <v>Dr. Mensah</v>
      </c>
      <c r="AT103" t="s">
        <v>159</v>
      </c>
      <c r="AU103" t="str">
        <f t="shared" si="61"/>
        <v>Missing Lab Results</v>
      </c>
    </row>
    <row r="104" spans="1:47" ht="18" customHeight="1">
      <c r="A104" t="s">
        <v>652</v>
      </c>
      <c r="B104" t="str">
        <f t="shared" si="47"/>
        <v>P-1103</v>
      </c>
      <c r="C104" t="s">
        <v>241</v>
      </c>
      <c r="D104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Aisha</v>
      </c>
      <c r="E104" t="s">
        <v>23</v>
      </c>
      <c r="F104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Adebayo</v>
      </c>
      <c r="G104" s="9">
        <v>1</v>
      </c>
      <c r="H104" t="str">
        <f>IF(OR(MessyClinicPatients[[#This Row],[Age]]="",MessyClinicPatients[[#This Row],[Age]]="unknown"),"Missing",IF(OR(MessyClinicPatients[[#This Row],[Age]]&lt;0,MessyClinicPatients[[#This Row],[Age]]&gt;120),"Invalid Age","Valid"))</f>
        <v>Valid</v>
      </c>
      <c r="I104" t="s">
        <v>88</v>
      </c>
      <c r="J104" t="str">
        <f t="shared" si="48"/>
        <v>Female</v>
      </c>
      <c r="K104" t="s">
        <v>654</v>
      </c>
      <c r="L104" s="8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45365</v>
      </c>
      <c r="N104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104" t="s">
        <v>655</v>
      </c>
      <c r="P104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Q104" t="s">
        <v>28</v>
      </c>
      <c r="R104" t="str">
        <f t="shared" si="49"/>
        <v>Ibadan</v>
      </c>
      <c r="T104" s="8" t="str">
        <f>IF(S104="","",IF(ISNUMBER(S104),S104,IF(AND(LEN(S104)=10,MID(S104,5,1)="-"),IFERROR(DATE(VALUE(LEFT(S104,4)),VALUE(MID(S104,6,2)),VALUE(RIGHT(S104,2))),"Invalid Date"),IF(AND(LEN(S104)=10,MID(S104,3,1)="/"),IFERROR(DATE(VALUE(RIGHT(S104,4)),VALUE(MID(S104,4,2)),VALUE(LEFT(S104,2))),"Invalid Date"),IF(AND(LEN(S104)=10,MID(S104,5,1)="/"),"Invalid Date",IFERROR(DATE(VALUE(RIGHT(S104,4)),MATCH(LEFT(S104,3),{"Jan","Feb","Mar","Apr","May","Jun","Jul","Aug","Sep","Oct","Nov","Dec"},0),VALUE(MID(S104,5,FIND(",",S104)-5))),"Invalid Date"))))))</f>
        <v/>
      </c>
      <c r="U104" t="s">
        <v>48</v>
      </c>
      <c r="V104" t="str">
        <f t="shared" si="50"/>
        <v>Routine Checkup</v>
      </c>
      <c r="W104" t="s">
        <v>65</v>
      </c>
      <c r="X104" t="str">
        <f t="shared" si="51"/>
        <v>Hypertension</v>
      </c>
      <c r="Y104" t="s">
        <v>656</v>
      </c>
      <c r="Z104" t="str">
        <f t="shared" si="52"/>
        <v>97/80</v>
      </c>
      <c r="AA104" t="str">
        <f t="shared" si="53"/>
        <v>Valid</v>
      </c>
      <c r="AB104" t="s">
        <v>657</v>
      </c>
      <c r="AC104" s="6">
        <f t="shared" si="38"/>
        <v>35.833333333333336</v>
      </c>
      <c r="AD104" s="6" t="str">
        <f t="shared" si="54"/>
        <v>Fahrenheit Converted</v>
      </c>
      <c r="AE104" t="s">
        <v>658</v>
      </c>
      <c r="AF104" t="str">
        <f t="shared" si="55"/>
        <v/>
      </c>
      <c r="AG104" t="str">
        <f t="shared" si="56"/>
        <v>Missing</v>
      </c>
      <c r="AH104" t="s">
        <v>81</v>
      </c>
      <c r="AI104" t="str">
        <f t="shared" si="57"/>
        <v>NHIS</v>
      </c>
      <c r="AJ104" s="5" t="s">
        <v>659</v>
      </c>
      <c r="AK104">
        <f>IF(TRIM(AJ104)="","",IF(LOWER(TRIM(AJ104))="one hundred",100,IFERROR(IF(VALUE(SUBSTITUTE(UPPER(TRIM(AJ104)),"GHS",""))&lt;0,"",VALUE(SUBSTITUTE(UPPER(TRIM(AJ104)),"GHS",""))),"")))</f>
        <v>62.75</v>
      </c>
      <c r="AL104" t="s">
        <v>53</v>
      </c>
      <c r="AM104">
        <f t="shared" si="58"/>
        <v>0</v>
      </c>
      <c r="AO104" t="str">
        <f t="shared" si="59"/>
        <v/>
      </c>
      <c r="AP104">
        <f>IF(OR(MessyClinicPatients[[#This Row],[Clean Total Bill]]="",MessyClinicPatients[[#This Row],[Clean Amount Paid]]=""),"",MessyClinicPatients[[#This Row],[Clean Total Bill]]-MessyClinicPatients[[#This Row],[Clean Amount Paid]])</f>
        <v>62.75</v>
      </c>
      <c r="AQ104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R104" t="s">
        <v>96</v>
      </c>
      <c r="AS104" t="str">
        <f t="shared" si="60"/>
        <v>Nurse Amina</v>
      </c>
      <c r="AT104" t="s">
        <v>97</v>
      </c>
      <c r="AU104" t="str">
        <f t="shared" si="61"/>
        <v>Patient Came Late</v>
      </c>
    </row>
    <row r="105" spans="1:47" ht="18" customHeight="1">
      <c r="A105" t="s">
        <v>660</v>
      </c>
      <c r="B105" t="str">
        <f t="shared" si="47"/>
        <v>P-0104</v>
      </c>
      <c r="C105" t="s">
        <v>661</v>
      </c>
      <c r="D105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Kofi</v>
      </c>
      <c r="E105" t="s">
        <v>219</v>
      </c>
      <c r="F105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Yakubu</v>
      </c>
      <c r="G105" s="9">
        <v>21</v>
      </c>
      <c r="H105" t="str">
        <f>IF(OR(MessyClinicPatients[[#This Row],[Age]]="",MessyClinicPatients[[#This Row],[Age]]="unknown"),"Missing",IF(OR(MessyClinicPatients[[#This Row],[Age]]&lt;0,MessyClinicPatients[[#This Row],[Age]]&gt;120),"Invalid Age","Valid"))</f>
        <v>Valid</v>
      </c>
      <c r="I105" t="s">
        <v>88</v>
      </c>
      <c r="J105" t="str">
        <f t="shared" si="48"/>
        <v>Female</v>
      </c>
      <c r="L105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05" t="s">
        <v>663</v>
      </c>
      <c r="N105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0245450404</v>
      </c>
      <c r="O105" t="s">
        <v>664</v>
      </c>
      <c r="P105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kofi.yakubu@email.com</v>
      </c>
      <c r="R105" t="str">
        <f t="shared" si="49"/>
        <v/>
      </c>
      <c r="S105" t="s">
        <v>92</v>
      </c>
      <c r="T105" s="8" t="str">
        <f>IF(S105="","",IF(ISNUMBER(S105),S105,IF(AND(LEN(S105)=10,MID(S105,5,1)="-"),IFERROR(DATE(VALUE(LEFT(S105,4)),VALUE(MID(S105,6,2)),VALUE(RIGHT(S105,2))),"Invalid Date"),IF(AND(LEN(S105)=10,MID(S105,3,1)="/"),IFERROR(DATE(VALUE(RIGHT(S105,4)),VALUE(MID(S105,4,2)),VALUE(LEFT(S105,2))),"Invalid Date"),IF(AND(LEN(S105)=10,MID(S105,5,1)="/"),"Invalid Date",IFERROR(DATE(VALUE(RIGHT(S105,4)),MATCH(LEFT(S105,3),{"Jan","Feb","Mar","Apr","May","Jun","Jul","Aug","Sep","Oct","Nov","Dec"},0),VALUE(MID(S105,5,FIND(",",S105)-5))),"Invalid Date"))))))</f>
        <v>Invalid Date</v>
      </c>
      <c r="U105" t="s">
        <v>30</v>
      </c>
      <c r="V105" t="str">
        <f t="shared" si="50"/>
        <v>Vaccination</v>
      </c>
      <c r="W105" t="s">
        <v>103</v>
      </c>
      <c r="X105" t="str">
        <f t="shared" si="51"/>
        <v>Diabetes</v>
      </c>
      <c r="Y105" t="s">
        <v>665</v>
      </c>
      <c r="Z105" t="str">
        <f t="shared" si="52"/>
        <v>141/60</v>
      </c>
      <c r="AA105" t="str">
        <f t="shared" si="53"/>
        <v>Valid</v>
      </c>
      <c r="AB105" t="s">
        <v>666</v>
      </c>
      <c r="AC105" s="6">
        <f t="shared" si="38"/>
        <v>38.333333333333336</v>
      </c>
      <c r="AD105" s="6" t="str">
        <f t="shared" si="54"/>
        <v>Fahrenheit Converted</v>
      </c>
      <c r="AE105" t="s">
        <v>667</v>
      </c>
      <c r="AF105" t="str">
        <f t="shared" si="55"/>
        <v/>
      </c>
      <c r="AG105" t="str">
        <f t="shared" si="56"/>
        <v>Missing</v>
      </c>
      <c r="AH105" t="s">
        <v>176</v>
      </c>
      <c r="AI105" t="str">
        <f t="shared" si="57"/>
        <v/>
      </c>
      <c r="AJ105" s="5" t="s">
        <v>668</v>
      </c>
      <c r="AK105">
        <f>IF(TRIM(AJ105)="","",IF(LOWER(TRIM(AJ105))="one hundred",100,IFERROR(IF(VALUE(SUBSTITUTE(UPPER(TRIM(AJ105)),"GHS",""))&lt;0,"",VALUE(SUBSTITUTE(UPPER(TRIM(AJ105)),"GHS",""))),"")))</f>
        <v>338.8</v>
      </c>
      <c r="AL105" t="s">
        <v>668</v>
      </c>
      <c r="AM105">
        <f t="shared" si="58"/>
        <v>338.8</v>
      </c>
      <c r="AN105" t="s">
        <v>38</v>
      </c>
      <c r="AO105" t="str">
        <f t="shared" si="59"/>
        <v>Partially Paid</v>
      </c>
      <c r="AP105">
        <f>IF(OR(MessyClinicPatients[[#This Row],[Clean Total Bill]]="",MessyClinicPatients[[#This Row],[Clean Amount Paid]]=""),"",MessyClinicPatients[[#This Row],[Clean Total Bill]]-MessyClinicPatients[[#This Row],[Clean Amount Paid]])</f>
        <v>0</v>
      </c>
      <c r="AQ105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S105" t="str">
        <f t="shared" si="60"/>
        <v/>
      </c>
      <c r="AT105" t="s">
        <v>40</v>
      </c>
      <c r="AU105" t="str">
        <f t="shared" si="61"/>
        <v>Needs Follow-Up</v>
      </c>
    </row>
    <row r="106" spans="1:47" ht="18" customHeight="1">
      <c r="A106" t="s">
        <v>669</v>
      </c>
      <c r="B106" t="str">
        <f t="shared" si="47"/>
        <v>P-0105</v>
      </c>
      <c r="C106" t="s">
        <v>424</v>
      </c>
      <c r="D106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Esther</v>
      </c>
      <c r="E106" t="s">
        <v>242</v>
      </c>
      <c r="F106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Bello</v>
      </c>
      <c r="G106" t="s">
        <v>24</v>
      </c>
      <c r="H106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106" t="s">
        <v>59</v>
      </c>
      <c r="J106" t="str">
        <f t="shared" si="48"/>
        <v>Female</v>
      </c>
      <c r="L106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06" t="s">
        <v>670</v>
      </c>
      <c r="N106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3894797249</v>
      </c>
      <c r="O106" t="s">
        <v>27</v>
      </c>
      <c r="P106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106" t="s">
        <v>101</v>
      </c>
      <c r="R106" t="str">
        <f t="shared" si="49"/>
        <v>Accra</v>
      </c>
      <c r="S106" t="s">
        <v>671</v>
      </c>
      <c r="T106" s="8">
        <f>IF(S106="","",IF(ISNUMBER(S106),S106,IF(AND(LEN(S106)=10,MID(S106,5,1)="-"),IFERROR(DATE(VALUE(LEFT(S106,4)),VALUE(MID(S106,6,2)),VALUE(RIGHT(S106,2))),"Invalid Date"),IF(AND(LEN(S106)=10,MID(S106,3,1)="/"),IFERROR(DATE(VALUE(RIGHT(S106,4)),VALUE(MID(S106,4,2)),VALUE(LEFT(S106,2))),"Invalid Date"),IF(AND(LEN(S106)=10,MID(S106,5,1)="/"),"Invalid Date",IFERROR(DATE(VALUE(RIGHT(S106,4)),MATCH(LEFT(S106,3),{"Jan","Feb","Mar","Apr","May","Jun","Jul","Aug","Sep","Oct","Nov","Dec"},0),VALUE(MID(S106,5,FIND(",",S106)-5))),"Invalid Date"))))))</f>
        <v>46034</v>
      </c>
      <c r="U106" t="s">
        <v>111</v>
      </c>
      <c r="V106" t="str">
        <f t="shared" si="50"/>
        <v>Follow-up</v>
      </c>
      <c r="X106" t="str">
        <f t="shared" si="51"/>
        <v/>
      </c>
      <c r="Y106" t="s">
        <v>672</v>
      </c>
      <c r="Z106" t="str">
        <f t="shared" si="52"/>
        <v>167/63</v>
      </c>
      <c r="AA106" t="str">
        <f t="shared" si="53"/>
        <v>Valid</v>
      </c>
      <c r="AB106" t="s">
        <v>673</v>
      </c>
      <c r="AC106" s="6">
        <f t="shared" si="38"/>
        <v>36.722222222222221</v>
      </c>
      <c r="AD106" s="6" t="str">
        <f t="shared" si="54"/>
        <v>Fahrenheit Converted</v>
      </c>
      <c r="AE106" t="s">
        <v>204</v>
      </c>
      <c r="AF106" t="str">
        <f t="shared" si="55"/>
        <v/>
      </c>
      <c r="AG106" t="str">
        <f t="shared" si="56"/>
        <v>Missing</v>
      </c>
      <c r="AI106" t="str">
        <f t="shared" si="57"/>
        <v/>
      </c>
      <c r="AJ106" s="5" t="s">
        <v>674</v>
      </c>
      <c r="AK106">
        <f>IF(TRIM(AJ106)="","",IF(LOWER(TRIM(AJ106))="one hundred",100,IFERROR(IF(VALUE(SUBSTITUTE(UPPER(TRIM(AJ106)),"GHS",""))&lt;0,"",VALUE(SUBSTITUTE(UPPER(TRIM(AJ106)),"GHS",""))),"")))</f>
        <v>275.05</v>
      </c>
      <c r="AL106" t="s">
        <v>53</v>
      </c>
      <c r="AM106">
        <f t="shared" si="58"/>
        <v>0</v>
      </c>
      <c r="AO106" t="str">
        <f t="shared" si="59"/>
        <v/>
      </c>
      <c r="AP106">
        <f>IF(OR(MessyClinicPatients[[#This Row],[Clean Total Bill]]="",MessyClinicPatients[[#This Row],[Clean Amount Paid]]=""),"",MessyClinicPatients[[#This Row],[Clean Total Bill]]-MessyClinicPatients[[#This Row],[Clean Amount Paid]])</f>
        <v>275.05</v>
      </c>
      <c r="AQ106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R106" t="s">
        <v>211</v>
      </c>
      <c r="AS106" t="str">
        <f t="shared" si="60"/>
        <v>Nurse Ama</v>
      </c>
      <c r="AT106" t="s">
        <v>40</v>
      </c>
      <c r="AU106" t="str">
        <f t="shared" si="61"/>
        <v>Needs Follow-Up</v>
      </c>
    </row>
    <row r="107" spans="1:47" ht="18" customHeight="1">
      <c r="A107" t="s">
        <v>675</v>
      </c>
      <c r="B107" t="str">
        <f t="shared" si="47"/>
        <v>P-0106</v>
      </c>
      <c r="C107" t="s">
        <v>541</v>
      </c>
      <c r="D107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Hannah</v>
      </c>
      <c r="E107" t="s">
        <v>162</v>
      </c>
      <c r="F107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Johnson</v>
      </c>
      <c r="G107" t="s">
        <v>24</v>
      </c>
      <c r="H107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107" t="s">
        <v>88</v>
      </c>
      <c r="J107" t="str">
        <f t="shared" si="48"/>
        <v>Female</v>
      </c>
      <c r="L107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07" t="s">
        <v>676</v>
      </c>
      <c r="N107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+233245041568</v>
      </c>
      <c r="O107" t="s">
        <v>27</v>
      </c>
      <c r="P107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107" t="s">
        <v>91</v>
      </c>
      <c r="R107" t="str">
        <f t="shared" si="49"/>
        <v>Lagos</v>
      </c>
      <c r="S107" t="s">
        <v>677</v>
      </c>
      <c r="T107" s="8">
        <f>IF(S107="","",IF(ISNUMBER(S107),S107,IF(AND(LEN(S107)=10,MID(S107,5,1)="-"),IFERROR(DATE(VALUE(LEFT(S107,4)),VALUE(MID(S107,6,2)),VALUE(RIGHT(S107,2))),"Invalid Date"),IF(AND(LEN(S107)=10,MID(S107,3,1)="/"),IFERROR(DATE(VALUE(RIGHT(S107,4)),VALUE(MID(S107,4,2)),VALUE(LEFT(S107,2))),"Invalid Date"),IF(AND(LEN(S107)=10,MID(S107,5,1)="/"),"Invalid Date",IFERROR(DATE(VALUE(RIGHT(S107,4)),MATCH(LEFT(S107,3),{"Jan","Feb","Mar","Apr","May","Jun","Jul","Aug","Sep","Oct","Nov","Dec"},0),VALUE(MID(S107,5,FIND(",",S107)-5))),"Invalid Date"))))))</f>
        <v>46067</v>
      </c>
      <c r="U107" t="s">
        <v>111</v>
      </c>
      <c r="V107" t="str">
        <f t="shared" si="50"/>
        <v>Follow-up</v>
      </c>
      <c r="W107" t="s">
        <v>195</v>
      </c>
      <c r="X107" t="str">
        <f t="shared" si="51"/>
        <v>Skin Rash</v>
      </c>
      <c r="Y107" t="s">
        <v>179</v>
      </c>
      <c r="Z107" t="str">
        <f t="shared" si="52"/>
        <v/>
      </c>
      <c r="AA107" t="str">
        <f t="shared" si="53"/>
        <v>Missing</v>
      </c>
      <c r="AC107" s="6" t="str">
        <f t="shared" si="38"/>
        <v/>
      </c>
      <c r="AD107" s="6" t="str">
        <f t="shared" si="54"/>
        <v>Missing</v>
      </c>
      <c r="AE107" t="s">
        <v>80</v>
      </c>
      <c r="AF107">
        <f t="shared" si="55"/>
        <v>80</v>
      </c>
      <c r="AG107" t="str">
        <f t="shared" si="56"/>
        <v>Valid</v>
      </c>
      <c r="AI107" t="str">
        <f t="shared" si="57"/>
        <v/>
      </c>
      <c r="AJ107" s="5" t="s">
        <v>678</v>
      </c>
      <c r="AK107">
        <f>IF(TRIM(AJ107)="","",IF(LOWER(TRIM(AJ107))="one hundred",100,IFERROR(IF(VALUE(SUBSTITUTE(UPPER(TRIM(AJ107)),"GHS",""))&lt;0,"",VALUE(SUBSTITUTE(UPPER(TRIM(AJ107)),"GHS",""))),"")))</f>
        <v>583.86</v>
      </c>
      <c r="AL107" t="s">
        <v>679</v>
      </c>
      <c r="AM107">
        <f t="shared" si="58"/>
        <v>472.03</v>
      </c>
      <c r="AN107" t="s">
        <v>117</v>
      </c>
      <c r="AO107" t="str">
        <f t="shared" si="59"/>
        <v>Refunded</v>
      </c>
      <c r="AP107">
        <f>IF(OR(MessyClinicPatients[[#This Row],[Clean Total Bill]]="",MessyClinicPatients[[#This Row],[Clean Amount Paid]]=""),"",MessyClinicPatients[[#This Row],[Clean Total Bill]]-MessyClinicPatients[[#This Row],[Clean Amount Paid]])</f>
        <v>111.83000000000004</v>
      </c>
      <c r="AQ107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107" t="s">
        <v>83</v>
      </c>
      <c r="AS107" t="str">
        <f t="shared" si="60"/>
        <v>Dr. Patel</v>
      </c>
      <c r="AT107" t="s">
        <v>171</v>
      </c>
      <c r="AU107" t="str">
        <f t="shared" si="61"/>
        <v>Allergy: Penicillin</v>
      </c>
    </row>
    <row r="108" spans="1:47" ht="18" customHeight="1">
      <c r="B108" t="str">
        <f t="shared" si="47"/>
        <v/>
      </c>
      <c r="C108" t="s">
        <v>85</v>
      </c>
      <c r="D108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Ruth</v>
      </c>
      <c r="E108" t="s">
        <v>282</v>
      </c>
      <c r="F108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Cole</v>
      </c>
      <c r="G108" s="9">
        <v>130</v>
      </c>
      <c r="H108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108" t="s">
        <v>88</v>
      </c>
      <c r="J108" t="str">
        <f t="shared" si="48"/>
        <v>Female</v>
      </c>
      <c r="L108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N108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108" t="s">
        <v>680</v>
      </c>
      <c r="P108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ruth_cole@clinicmail.org</v>
      </c>
      <c r="Q108" t="s">
        <v>132</v>
      </c>
      <c r="R108" t="str">
        <f t="shared" si="49"/>
        <v>Kano</v>
      </c>
      <c r="S108" t="s">
        <v>681</v>
      </c>
      <c r="T108" s="8">
        <f>IF(S108="","",IF(ISNUMBER(S108),S108,IF(AND(LEN(S108)=10,MID(S108,5,1)="-"),IFERROR(DATE(VALUE(LEFT(S108,4)),VALUE(MID(S108,6,2)),VALUE(RIGHT(S108,2))),"Invalid Date"),IF(AND(LEN(S108)=10,MID(S108,3,1)="/"),IFERROR(DATE(VALUE(RIGHT(S108,4)),VALUE(MID(S108,4,2)),VALUE(LEFT(S108,2))),"Invalid Date"),IF(AND(LEN(S108)=10,MID(S108,5,1)="/"),"Invalid Date",IFERROR(DATE(VALUE(RIGHT(S108,4)),MATCH(LEFT(S108,3),{"Jan","Feb","Mar","Apr","May","Jun","Jul","Aug","Sep","Oct","Nov","Dec"},0),VALUE(MID(S108,5,FIND(",",S108)-5))),"Invalid Date"))))))</f>
        <v>46048</v>
      </c>
      <c r="U108" t="s">
        <v>111</v>
      </c>
      <c r="V108" t="str">
        <f t="shared" si="50"/>
        <v>Follow-up</v>
      </c>
      <c r="W108" t="s">
        <v>124</v>
      </c>
      <c r="X108" t="str">
        <f t="shared" si="51"/>
        <v>Hypertension</v>
      </c>
      <c r="Y108" t="s">
        <v>179</v>
      </c>
      <c r="Z108" t="str">
        <f t="shared" si="52"/>
        <v/>
      </c>
      <c r="AA108" t="str">
        <f t="shared" si="53"/>
        <v>Missing</v>
      </c>
      <c r="AB108" t="s">
        <v>168</v>
      </c>
      <c r="AC108" s="6">
        <f t="shared" si="38"/>
        <v>38.277777777777779</v>
      </c>
      <c r="AD108" s="6" t="str">
        <f t="shared" si="54"/>
        <v>Fahrenheit Converted</v>
      </c>
      <c r="AE108" t="s">
        <v>80</v>
      </c>
      <c r="AF108">
        <f t="shared" si="55"/>
        <v>80</v>
      </c>
      <c r="AG108" t="str">
        <f t="shared" si="56"/>
        <v>Valid</v>
      </c>
      <c r="AI108" t="str">
        <f t="shared" si="57"/>
        <v/>
      </c>
      <c r="AJ108" s="5" t="s">
        <v>682</v>
      </c>
      <c r="AK108">
        <f>IF(TRIM(AJ108)="","",IF(LOWER(TRIM(AJ108))="one hundred",100,IFERROR(IF(VALUE(SUBSTITUTE(UPPER(TRIM(AJ108)),"GHS",""))&lt;0,"",VALUE(SUBSTITUTE(UPPER(TRIM(AJ108)),"GHS",""))),"")))</f>
        <v>346.36</v>
      </c>
      <c r="AL108" t="s">
        <v>53</v>
      </c>
      <c r="AM108">
        <f t="shared" si="58"/>
        <v>0</v>
      </c>
      <c r="AN108" t="s">
        <v>38</v>
      </c>
      <c r="AO108" t="str">
        <f t="shared" si="59"/>
        <v>Partially Paid</v>
      </c>
      <c r="AP108">
        <f>IF(OR(MessyClinicPatients[[#This Row],[Clean Total Bill]]="",MessyClinicPatients[[#This Row],[Clean Amount Paid]]=""),"",MessyClinicPatients[[#This Row],[Clean Total Bill]]-MessyClinicPatients[[#This Row],[Clean Amount Paid]])</f>
        <v>346.36</v>
      </c>
      <c r="AQ108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R108" t="s">
        <v>54</v>
      </c>
      <c r="AS108" t="str">
        <f t="shared" si="60"/>
        <v>Dr. Lee</v>
      </c>
      <c r="AT108" t="s">
        <v>274</v>
      </c>
      <c r="AU108" t="str">
        <f t="shared" si="61"/>
        <v>Repeated Record?</v>
      </c>
    </row>
    <row r="109" spans="1:47" ht="18" customHeight="1">
      <c r="A109" t="s">
        <v>683</v>
      </c>
      <c r="B109" t="str">
        <f t="shared" si="47"/>
        <v>P-0108</v>
      </c>
      <c r="C109" t="s">
        <v>129</v>
      </c>
      <c r="D109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Kwame</v>
      </c>
      <c r="E109" t="s">
        <v>357</v>
      </c>
      <c r="F109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Lawal</v>
      </c>
      <c r="G109" t="s">
        <v>24</v>
      </c>
      <c r="H109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J109" t="str">
        <f t="shared" si="48"/>
        <v/>
      </c>
      <c r="L109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09" t="s">
        <v>61</v>
      </c>
      <c r="N109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Invalid Phone</v>
      </c>
      <c r="O109" t="s">
        <v>684</v>
      </c>
      <c r="P109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kwame.lawal@email.com</v>
      </c>
      <c r="Q109" t="s">
        <v>63</v>
      </c>
      <c r="R109" t="str">
        <f t="shared" si="49"/>
        <v>Tamale</v>
      </c>
      <c r="S109" t="s">
        <v>685</v>
      </c>
      <c r="T109" s="8">
        <f>IF(S109="","",IF(ISNUMBER(S109),S109,IF(AND(LEN(S109)=10,MID(S109,5,1)="-"),IFERROR(DATE(VALUE(LEFT(S109,4)),VALUE(MID(S109,6,2)),VALUE(RIGHT(S109,2))),"Invalid Date"),IF(AND(LEN(S109)=10,MID(S109,3,1)="/"),IFERROR(DATE(VALUE(RIGHT(S109,4)),VALUE(MID(S109,4,2)),VALUE(LEFT(S109,2))),"Invalid Date"),IF(AND(LEN(S109)=10,MID(S109,5,1)="/"),"Invalid Date",IFERROR(DATE(VALUE(RIGHT(S109,4)),MATCH(LEFT(S109,3),{"Jan","Feb","Mar","Apr","May","Jun","Jul","Aug","Sep","Oct","Nov","Dec"},0),VALUE(MID(S109,5,FIND(",",S109)-5))),"Invalid Date"))))))</f>
        <v>46081</v>
      </c>
      <c r="U109" t="s">
        <v>102</v>
      </c>
      <c r="V109" t="str">
        <f t="shared" si="50"/>
        <v>Consultation</v>
      </c>
      <c r="X109" t="str">
        <f t="shared" si="51"/>
        <v/>
      </c>
      <c r="Y109" t="s">
        <v>686</v>
      </c>
      <c r="Z109" t="str">
        <f t="shared" si="52"/>
        <v/>
      </c>
      <c r="AA109" t="str">
        <f t="shared" si="53"/>
        <v>Missing</v>
      </c>
      <c r="AC109" s="6" t="str">
        <f t="shared" si="38"/>
        <v/>
      </c>
      <c r="AD109" s="6" t="str">
        <f t="shared" si="54"/>
        <v>Missing</v>
      </c>
      <c r="AE109" t="s">
        <v>238</v>
      </c>
      <c r="AF109" t="str">
        <f t="shared" si="55"/>
        <v/>
      </c>
      <c r="AG109" t="str">
        <f t="shared" si="56"/>
        <v>Missing</v>
      </c>
      <c r="AH109" t="s">
        <v>81</v>
      </c>
      <c r="AI109" t="str">
        <f t="shared" si="57"/>
        <v>NHIS</v>
      </c>
      <c r="AJ109" s="5" t="s">
        <v>687</v>
      </c>
      <c r="AK109">
        <f>IF(TRIM(AJ109)="","",IF(LOWER(TRIM(AJ109))="one hundred",100,IFERROR(IF(VALUE(SUBSTITUTE(UPPER(TRIM(AJ109)),"GHS",""))&lt;0,"",VALUE(SUBSTITUTE(UPPER(TRIM(AJ109)),"GHS",""))),"")))</f>
        <v>194.28</v>
      </c>
      <c r="AL109" t="s">
        <v>53</v>
      </c>
      <c r="AM109">
        <f t="shared" si="58"/>
        <v>0</v>
      </c>
      <c r="AN109" t="s">
        <v>137</v>
      </c>
      <c r="AO109" t="str">
        <f t="shared" si="59"/>
        <v>Unpaid</v>
      </c>
      <c r="AP109">
        <f>IF(OR(MessyClinicPatients[[#This Row],[Clean Total Bill]]="",MessyClinicPatients[[#This Row],[Clean Amount Paid]]=""),"",MessyClinicPatients[[#This Row],[Clean Total Bill]]-MessyClinicPatients[[#This Row],[Clean Amount Paid]])</f>
        <v>194.28</v>
      </c>
      <c r="AQ109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R109" t="s">
        <v>39</v>
      </c>
      <c r="AS109" t="str">
        <f t="shared" si="60"/>
        <v>Dr. Okoro</v>
      </c>
      <c r="AT109" t="s">
        <v>159</v>
      </c>
      <c r="AU109" t="str">
        <f t="shared" si="61"/>
        <v>Missing Lab Results</v>
      </c>
    </row>
    <row r="110" spans="1:47" ht="18" customHeight="1">
      <c r="A110" t="s">
        <v>688</v>
      </c>
      <c r="B110" t="str">
        <f t="shared" si="47"/>
        <v>P-0109</v>
      </c>
      <c r="C110" t="s">
        <v>452</v>
      </c>
      <c r="D110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Daniel</v>
      </c>
      <c r="E110" t="s">
        <v>374</v>
      </c>
      <c r="F110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Adams</v>
      </c>
      <c r="G110" s="9">
        <v>-3</v>
      </c>
      <c r="H110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J110" t="str">
        <f t="shared" si="48"/>
        <v/>
      </c>
      <c r="L110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10" t="s">
        <v>689</v>
      </c>
      <c r="N110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+233248999589</v>
      </c>
      <c r="O110" t="s">
        <v>690</v>
      </c>
      <c r="P110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daniel.adams@email.com</v>
      </c>
      <c r="Q110" t="s">
        <v>110</v>
      </c>
      <c r="R110" t="str">
        <f t="shared" si="49"/>
        <v>Kumasi</v>
      </c>
      <c r="S110" t="s">
        <v>691</v>
      </c>
      <c r="T110" s="8">
        <f>IF(S110="","",IF(ISNUMBER(S110),S110,IF(AND(LEN(S110)=10,MID(S110,5,1)="-"),IFERROR(DATE(VALUE(LEFT(S110,4)),VALUE(MID(S110,6,2)),VALUE(RIGHT(S110,2))),"Invalid Date"),IF(AND(LEN(S110)=10,MID(S110,3,1)="/"),IFERROR(DATE(VALUE(RIGHT(S110,4)),VALUE(MID(S110,4,2)),VALUE(LEFT(S110,2))),"Invalid Date"),IF(AND(LEN(S110)=10,MID(S110,5,1)="/"),"Invalid Date",IFERROR(DATE(VALUE(RIGHT(S110,4)),MATCH(LEFT(S110,3),{"Jan","Feb","Mar","Apr","May","Jun","Jul","Aug","Sep","Oct","Nov","Dec"},0),VALUE(MID(S110,5,FIND(",",S110)-5))),"Invalid Date"))))))</f>
        <v>46139</v>
      </c>
      <c r="U110" t="s">
        <v>48</v>
      </c>
      <c r="V110" t="str">
        <f t="shared" si="50"/>
        <v>Routine Checkup</v>
      </c>
      <c r="W110" t="s">
        <v>297</v>
      </c>
      <c r="X110" t="str">
        <f t="shared" si="51"/>
        <v>COVID-19</v>
      </c>
      <c r="Y110" t="s">
        <v>179</v>
      </c>
      <c r="Z110" t="str">
        <f t="shared" si="52"/>
        <v/>
      </c>
      <c r="AA110" t="str">
        <f t="shared" si="53"/>
        <v>Missing</v>
      </c>
      <c r="AB110" t="s">
        <v>392</v>
      </c>
      <c r="AC110" s="6">
        <f t="shared" si="38"/>
        <v>38.6</v>
      </c>
      <c r="AD110" s="6" t="str">
        <f t="shared" si="54"/>
        <v>Valid</v>
      </c>
      <c r="AE110" t="s">
        <v>238</v>
      </c>
      <c r="AF110" t="str">
        <f t="shared" si="55"/>
        <v/>
      </c>
      <c r="AG110" t="str">
        <f t="shared" si="56"/>
        <v>Missing</v>
      </c>
      <c r="AH110" t="s">
        <v>51</v>
      </c>
      <c r="AI110" t="str">
        <f t="shared" si="57"/>
        <v>Private</v>
      </c>
      <c r="AJ110" s="5" t="s">
        <v>692</v>
      </c>
      <c r="AK110">
        <f>IF(TRIM(AJ110)="","",IF(LOWER(TRIM(AJ110))="one hundred",100,IFERROR(IF(VALUE(SUBSTITUTE(UPPER(TRIM(AJ110)),"GHS",""))&lt;0,"",VALUE(SUBSTITUTE(UPPER(TRIM(AJ110)),"GHS",""))),"")))</f>
        <v>552.46</v>
      </c>
      <c r="AL110" t="s">
        <v>53</v>
      </c>
      <c r="AM110">
        <f t="shared" si="58"/>
        <v>0</v>
      </c>
      <c r="AN110" t="s">
        <v>117</v>
      </c>
      <c r="AO110" t="str">
        <f t="shared" si="59"/>
        <v>Refunded</v>
      </c>
      <c r="AP110">
        <f>IF(OR(MessyClinicPatients[[#This Row],[Clean Total Bill]]="",MessyClinicPatients[[#This Row],[Clean Amount Paid]]=""),"",MessyClinicPatients[[#This Row],[Clean Total Bill]]-MessyClinicPatients[[#This Row],[Clean Amount Paid]])</f>
        <v>552.46</v>
      </c>
      <c r="AQ110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R110" t="s">
        <v>83</v>
      </c>
      <c r="AS110" t="str">
        <f t="shared" si="60"/>
        <v>Dr. Patel</v>
      </c>
      <c r="AT110" t="s">
        <v>97</v>
      </c>
      <c r="AU110" t="str">
        <f t="shared" si="61"/>
        <v>Patient Came Late</v>
      </c>
    </row>
    <row r="111" spans="1:47" ht="18" customHeight="1">
      <c r="A111" t="s">
        <v>693</v>
      </c>
      <c r="B111" t="str">
        <f t="shared" si="47"/>
        <v>P-0110</v>
      </c>
      <c r="C111" t="s">
        <v>323</v>
      </c>
      <c r="D111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Michael</v>
      </c>
      <c r="E111" t="s">
        <v>374</v>
      </c>
      <c r="F111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Adams</v>
      </c>
      <c r="G111" t="s">
        <v>24</v>
      </c>
      <c r="H111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111" t="s">
        <v>74</v>
      </c>
      <c r="J111" t="str">
        <f t="shared" si="48"/>
        <v>Female</v>
      </c>
      <c r="L111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11" t="s">
        <v>694</v>
      </c>
      <c r="N111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0243733132</v>
      </c>
      <c r="O111" t="s">
        <v>695</v>
      </c>
      <c r="P111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Q111" t="s">
        <v>76</v>
      </c>
      <c r="R111" t="str">
        <f t="shared" si="49"/>
        <v>Cape Coast</v>
      </c>
      <c r="S111" t="s">
        <v>348</v>
      </c>
      <c r="T111" s="8">
        <f>IF(S111="","",IF(ISNUMBER(S111),S111,IF(AND(LEN(S111)=10,MID(S111,5,1)="-"),IFERROR(DATE(VALUE(LEFT(S111,4)),VALUE(MID(S111,6,2)),VALUE(RIGHT(S111,2))),"Invalid Date"),IF(AND(LEN(S111)=10,MID(S111,3,1)="/"),IFERROR(DATE(VALUE(RIGHT(S111,4)),VALUE(MID(S111,4,2)),VALUE(LEFT(S111,2))),"Invalid Date"),IF(AND(LEN(S111)=10,MID(S111,5,1)="/"),"Invalid Date",IFERROR(DATE(VALUE(RIGHT(S111,4)),MATCH(LEFT(S111,3),{"Jan","Feb","Mar","Apr","May","Jun","Jul","Aug","Sep","Oct","Nov","Dec"},0),VALUE(MID(S111,5,FIND(",",S111)-5))),"Invalid Date"))))))</f>
        <v>46075</v>
      </c>
      <c r="U111" t="s">
        <v>111</v>
      </c>
      <c r="V111" t="str">
        <f t="shared" si="50"/>
        <v>Follow-up</v>
      </c>
      <c r="X111" t="str">
        <f t="shared" si="51"/>
        <v/>
      </c>
      <c r="Y111" t="s">
        <v>145</v>
      </c>
      <c r="Z111" t="str">
        <f t="shared" si="52"/>
        <v>120/80</v>
      </c>
      <c r="AA111" t="str">
        <f t="shared" si="53"/>
        <v>Valid</v>
      </c>
      <c r="AB111" t="s">
        <v>392</v>
      </c>
      <c r="AC111" s="6">
        <f t="shared" si="38"/>
        <v>38.6</v>
      </c>
      <c r="AD111" s="6" t="str">
        <f t="shared" si="54"/>
        <v>Valid</v>
      </c>
      <c r="AE111" t="s">
        <v>204</v>
      </c>
      <c r="AF111" t="str">
        <f t="shared" si="55"/>
        <v/>
      </c>
      <c r="AG111" t="str">
        <f t="shared" si="56"/>
        <v>Missing</v>
      </c>
      <c r="AH111" t="s">
        <v>51</v>
      </c>
      <c r="AI111" t="str">
        <f t="shared" si="57"/>
        <v>Private</v>
      </c>
      <c r="AJ111" s="5" t="s">
        <v>696</v>
      </c>
      <c r="AK111">
        <f>IF(TRIM(AJ111)="","",IF(LOWER(TRIM(AJ111))="one hundred",100,IFERROR(IF(VALUE(SUBSTITUTE(UPPER(TRIM(AJ111)),"GHS",""))&lt;0,"",VALUE(SUBSTITUTE(UPPER(TRIM(AJ111)),"GHS",""))),"")))</f>
        <v>397.92</v>
      </c>
      <c r="AL111" t="s">
        <v>116</v>
      </c>
      <c r="AM111" t="str">
        <f t="shared" si="58"/>
        <v/>
      </c>
      <c r="AN111" t="s">
        <v>137</v>
      </c>
      <c r="AO111" t="str">
        <f t="shared" si="59"/>
        <v>Unpaid</v>
      </c>
      <c r="AP111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111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R111" t="s">
        <v>211</v>
      </c>
      <c r="AS111" t="str">
        <f t="shared" si="60"/>
        <v>Nurse Ama</v>
      </c>
      <c r="AT111" t="s">
        <v>171</v>
      </c>
      <c r="AU111" t="str">
        <f t="shared" si="61"/>
        <v>Allergy: Penicillin</v>
      </c>
    </row>
    <row r="112" spans="1:47" ht="18" customHeight="1">
      <c r="A112" t="s">
        <v>697</v>
      </c>
      <c r="B112" t="str">
        <f t="shared" si="47"/>
        <v>P-1111</v>
      </c>
      <c r="C112" t="s">
        <v>452</v>
      </c>
      <c r="D112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Daniel</v>
      </c>
      <c r="E112" t="s">
        <v>100</v>
      </c>
      <c r="F112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Diallo</v>
      </c>
      <c r="G112" s="9">
        <v>130</v>
      </c>
      <c r="H112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112" t="s">
        <v>234</v>
      </c>
      <c r="J112" t="str">
        <f t="shared" si="48"/>
        <v>Male</v>
      </c>
      <c r="L112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N112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112" t="s">
        <v>698</v>
      </c>
      <c r="P112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daniel_diallo@clinicmail.org</v>
      </c>
      <c r="Q112" t="s">
        <v>132</v>
      </c>
      <c r="R112" t="str">
        <f t="shared" si="49"/>
        <v>Kano</v>
      </c>
      <c r="S112" t="s">
        <v>699</v>
      </c>
      <c r="T112" s="8">
        <f>IF(S112="","",IF(ISNUMBER(S112),S112,IF(AND(LEN(S112)=10,MID(S112,5,1)="-"),IFERROR(DATE(VALUE(LEFT(S112,4)),VALUE(MID(S112,6,2)),VALUE(RIGHT(S112,2))),"Invalid Date"),IF(AND(LEN(S112)=10,MID(S112,3,1)="/"),IFERROR(DATE(VALUE(RIGHT(S112,4)),VALUE(MID(S112,4,2)),VALUE(LEFT(S112,2))),"Invalid Date"),IF(AND(LEN(S112)=10,MID(S112,5,1)="/"),"Invalid Date",IFERROR(DATE(VALUE(RIGHT(S112,4)),MATCH(LEFT(S112,3),{"Jan","Feb","Mar","Apr","May","Jun","Jul","Aug","Sep","Oct","Nov","Dec"},0),VALUE(MID(S112,5,FIND(",",S112)-5))),"Invalid Date"))))))</f>
        <v>46178</v>
      </c>
      <c r="U112" t="s">
        <v>111</v>
      </c>
      <c r="V112" t="str">
        <f t="shared" si="50"/>
        <v>Follow-up</v>
      </c>
      <c r="W112" t="s">
        <v>49</v>
      </c>
      <c r="X112" t="str">
        <f t="shared" si="51"/>
        <v>None</v>
      </c>
      <c r="Z112" t="str">
        <f t="shared" si="52"/>
        <v/>
      </c>
      <c r="AA112" t="str">
        <f t="shared" si="53"/>
        <v>Missing</v>
      </c>
      <c r="AB112" t="s">
        <v>33</v>
      </c>
      <c r="AC112" s="6" t="str">
        <f t="shared" si="38"/>
        <v/>
      </c>
      <c r="AD112" s="6" t="str">
        <f t="shared" si="54"/>
        <v>Missing</v>
      </c>
      <c r="AE112" t="s">
        <v>204</v>
      </c>
      <c r="AF112" t="str">
        <f t="shared" si="55"/>
        <v/>
      </c>
      <c r="AG112" t="str">
        <f t="shared" si="56"/>
        <v>Missing</v>
      </c>
      <c r="AH112" t="s">
        <v>51</v>
      </c>
      <c r="AI112" t="str">
        <f t="shared" si="57"/>
        <v>Private</v>
      </c>
      <c r="AJ112" s="5" t="s">
        <v>700</v>
      </c>
      <c r="AK112">
        <f>IF(TRIM(AJ112)="","",IF(LOWER(TRIM(AJ112))="one hundred",100,IFERROR(IF(VALUE(SUBSTITUTE(UPPER(TRIM(AJ112)),"GHS",""))&lt;0,"",VALUE(SUBSTITUTE(UPPER(TRIM(AJ112)),"GHS",""))),"")))</f>
        <v>193.12</v>
      </c>
      <c r="AL112" t="s">
        <v>700</v>
      </c>
      <c r="AM112">
        <f t="shared" si="58"/>
        <v>193.12</v>
      </c>
      <c r="AO112" t="str">
        <f t="shared" si="59"/>
        <v/>
      </c>
      <c r="AP112">
        <f>IF(OR(MessyClinicPatients[[#This Row],[Clean Total Bill]]="",MessyClinicPatients[[#This Row],[Clean Amount Paid]]=""),"",MessyClinicPatients[[#This Row],[Clean Total Bill]]-MessyClinicPatients[[#This Row],[Clean Amount Paid]])</f>
        <v>0</v>
      </c>
      <c r="AQ112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112" t="s">
        <v>148</v>
      </c>
      <c r="AS112" t="str">
        <f t="shared" si="60"/>
        <v>Dr. Mensah</v>
      </c>
      <c r="AT112" t="s">
        <v>40</v>
      </c>
      <c r="AU112" t="str">
        <f t="shared" si="61"/>
        <v>Needs Follow-Up</v>
      </c>
    </row>
    <row r="113" spans="1:47" ht="18" customHeight="1">
      <c r="A113" t="s">
        <v>701</v>
      </c>
      <c r="B113" t="str">
        <f t="shared" si="47"/>
        <v>P-1112</v>
      </c>
      <c r="C113" t="s">
        <v>22</v>
      </c>
      <c r="D113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Abena</v>
      </c>
      <c r="E113" t="s">
        <v>242</v>
      </c>
      <c r="F113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Bello</v>
      </c>
      <c r="G113" t="s">
        <v>24</v>
      </c>
      <c r="H113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113" t="s">
        <v>163</v>
      </c>
      <c r="J113" t="str">
        <f t="shared" si="48"/>
        <v>Male</v>
      </c>
      <c r="L113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13" t="s">
        <v>702</v>
      </c>
      <c r="N113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7978254111</v>
      </c>
      <c r="O113" t="s">
        <v>703</v>
      </c>
      <c r="P113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R113" t="str">
        <f t="shared" si="49"/>
        <v/>
      </c>
      <c r="T113" s="8" t="str">
        <f>IF(S113="","",IF(ISNUMBER(S113),S113,IF(AND(LEN(S113)=10,MID(S113,5,1)="-"),IFERROR(DATE(VALUE(LEFT(S113,4)),VALUE(MID(S113,6,2)),VALUE(RIGHT(S113,2))),"Invalid Date"),IF(AND(LEN(S113)=10,MID(S113,3,1)="/"),IFERROR(DATE(VALUE(RIGHT(S113,4)),VALUE(MID(S113,4,2)),VALUE(LEFT(S113,2))),"Invalid Date"),IF(AND(LEN(S113)=10,MID(S113,5,1)="/"),"Invalid Date",IFERROR(DATE(VALUE(RIGHT(S113,4)),MATCH(LEFT(S113,3),{"Jan","Feb","Mar","Apr","May","Jun","Jul","Aug","Sep","Oct","Nov","Dec"},0),VALUE(MID(S113,5,FIND(",",S113)-5))),"Invalid Date"))))))</f>
        <v/>
      </c>
      <c r="U113" t="s">
        <v>134</v>
      </c>
      <c r="V113" t="str">
        <f t="shared" si="50"/>
        <v>Follow-up</v>
      </c>
      <c r="W113" t="s">
        <v>412</v>
      </c>
      <c r="X113" t="str">
        <f t="shared" si="51"/>
        <v>Asthma</v>
      </c>
      <c r="Y113" t="s">
        <v>704</v>
      </c>
      <c r="Z113" t="str">
        <f t="shared" si="52"/>
        <v/>
      </c>
      <c r="AA113" t="str">
        <f t="shared" si="53"/>
        <v>Missing</v>
      </c>
      <c r="AC113" s="6" t="str">
        <f t="shared" si="38"/>
        <v/>
      </c>
      <c r="AD113" s="6" t="str">
        <f t="shared" si="54"/>
        <v>Missing</v>
      </c>
      <c r="AE113" t="s">
        <v>204</v>
      </c>
      <c r="AF113" t="str">
        <f t="shared" si="55"/>
        <v/>
      </c>
      <c r="AG113" t="str">
        <f t="shared" si="56"/>
        <v>Missing</v>
      </c>
      <c r="AH113" t="s">
        <v>51</v>
      </c>
      <c r="AI113" t="str">
        <f t="shared" si="57"/>
        <v>Private</v>
      </c>
      <c r="AJ113" s="5" t="s">
        <v>705</v>
      </c>
      <c r="AK113">
        <f>IF(TRIM(AJ113)="","",IF(LOWER(TRIM(AJ113))="one hundred",100,IFERROR(IF(VALUE(SUBSTITUTE(UPPER(TRIM(AJ113)),"GHS",""))&lt;0,"",VALUE(SUBSTITUTE(UPPER(TRIM(AJ113)),"GHS",""))),"")))</f>
        <v>545.79</v>
      </c>
      <c r="AL113" t="s">
        <v>37</v>
      </c>
      <c r="AM113">
        <f t="shared" si="58"/>
        <v>100</v>
      </c>
      <c r="AN113" t="s">
        <v>117</v>
      </c>
      <c r="AO113" t="str">
        <f t="shared" si="59"/>
        <v>Refunded</v>
      </c>
      <c r="AP113">
        <f>IF(OR(MessyClinicPatients[[#This Row],[Clean Total Bill]]="",MessyClinicPatients[[#This Row],[Clean Amount Paid]]=""),"",MessyClinicPatients[[#This Row],[Clean Total Bill]]-MessyClinicPatients[[#This Row],[Clean Amount Paid]])</f>
        <v>445.78999999999996</v>
      </c>
      <c r="AQ113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113" t="s">
        <v>83</v>
      </c>
      <c r="AS113" t="str">
        <f t="shared" si="60"/>
        <v>Dr. Patel</v>
      </c>
      <c r="AT113" t="s">
        <v>40</v>
      </c>
      <c r="AU113" t="str">
        <f t="shared" si="61"/>
        <v>Needs Follow-Up</v>
      </c>
    </row>
    <row r="114" spans="1:47" ht="18" customHeight="1">
      <c r="B114" t="str">
        <f t="shared" si="47"/>
        <v/>
      </c>
      <c r="C114" t="s">
        <v>259</v>
      </c>
      <c r="D114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Sarah</v>
      </c>
      <c r="E114" t="s">
        <v>260</v>
      </c>
      <c r="F114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Acheampong</v>
      </c>
      <c r="G114" t="s">
        <v>24</v>
      </c>
      <c r="H114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J114" t="str">
        <f t="shared" si="48"/>
        <v/>
      </c>
      <c r="L114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14" t="s">
        <v>176</v>
      </c>
      <c r="N114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114" t="s">
        <v>706</v>
      </c>
      <c r="P114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sarah_acheampong@clinicmail.org</v>
      </c>
      <c r="Q114" t="s">
        <v>28</v>
      </c>
      <c r="R114" t="str">
        <f t="shared" si="49"/>
        <v>Ibadan</v>
      </c>
      <c r="T114" s="8" t="str">
        <f>IF(S114="","",IF(ISNUMBER(S114),S114,IF(AND(LEN(S114)=10,MID(S114,5,1)="-"),IFERROR(DATE(VALUE(LEFT(S114,4)),VALUE(MID(S114,6,2)),VALUE(RIGHT(S114,2))),"Invalid Date"),IF(AND(LEN(S114)=10,MID(S114,3,1)="/"),IFERROR(DATE(VALUE(RIGHT(S114,4)),VALUE(MID(S114,4,2)),VALUE(LEFT(S114,2))),"Invalid Date"),IF(AND(LEN(S114)=10,MID(S114,5,1)="/"),"Invalid Date",IFERROR(DATE(VALUE(RIGHT(S114,4)),MATCH(LEFT(S114,3),{"Jan","Feb","Mar","Apr","May","Jun","Jul","Aug","Sep","Oct","Nov","Dec"},0),VALUE(MID(S114,5,FIND(",",S114)-5))),"Invalid Date"))))))</f>
        <v/>
      </c>
      <c r="U114" t="s">
        <v>77</v>
      </c>
      <c r="V114" t="str">
        <f t="shared" si="50"/>
        <v>Emergency</v>
      </c>
      <c r="W114" t="s">
        <v>155</v>
      </c>
      <c r="X114" t="str">
        <f t="shared" si="51"/>
        <v>Migraine</v>
      </c>
      <c r="Y114" t="s">
        <v>179</v>
      </c>
      <c r="Z114" t="str">
        <f t="shared" si="52"/>
        <v/>
      </c>
      <c r="AA114" t="str">
        <f t="shared" si="53"/>
        <v>Missing</v>
      </c>
      <c r="AB114" t="s">
        <v>707</v>
      </c>
      <c r="AC114" s="6">
        <f t="shared" si="38"/>
        <v>39.444444444444443</v>
      </c>
      <c r="AD114" s="6" t="str">
        <f t="shared" si="54"/>
        <v>Fahrenheit Converted</v>
      </c>
      <c r="AF114" t="str">
        <f t="shared" si="55"/>
        <v/>
      </c>
      <c r="AG114" t="str">
        <f t="shared" si="56"/>
        <v>Missing</v>
      </c>
      <c r="AH114" t="s">
        <v>81</v>
      </c>
      <c r="AI114" t="str">
        <f t="shared" si="57"/>
        <v>NHIS</v>
      </c>
      <c r="AJ114" s="5" t="s">
        <v>708</v>
      </c>
      <c r="AK114">
        <f>IF(TRIM(AJ114)="","",IF(LOWER(TRIM(AJ114))="one hundred",100,IFERROR(IF(VALUE(SUBSTITUTE(UPPER(TRIM(AJ114)),"GHS",""))&lt;0,"",VALUE(SUBSTITUTE(UPPER(TRIM(AJ114)),"GHS",""))),"")))</f>
        <v>327.31</v>
      </c>
      <c r="AL114" t="s">
        <v>709</v>
      </c>
      <c r="AM114">
        <f t="shared" si="58"/>
        <v>135.21</v>
      </c>
      <c r="AN114" t="s">
        <v>38</v>
      </c>
      <c r="AO114" t="str">
        <f t="shared" si="59"/>
        <v>Partially Paid</v>
      </c>
      <c r="AP114">
        <f>IF(OR(MessyClinicPatients[[#This Row],[Clean Total Bill]]="",MessyClinicPatients[[#This Row],[Clean Amount Paid]]=""),"",MessyClinicPatients[[#This Row],[Clean Total Bill]]-MessyClinicPatients[[#This Row],[Clean Amount Paid]])</f>
        <v>192.1</v>
      </c>
      <c r="AQ114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114" t="s">
        <v>54</v>
      </c>
      <c r="AS114" t="str">
        <f t="shared" si="60"/>
        <v>Dr. Lee</v>
      </c>
      <c r="AU114" t="str">
        <f t="shared" si="61"/>
        <v/>
      </c>
    </row>
    <row r="115" spans="1:47" ht="18" customHeight="1">
      <c r="A115" t="s">
        <v>710</v>
      </c>
      <c r="B115" t="str">
        <f t="shared" si="47"/>
        <v>P-0114</v>
      </c>
      <c r="C115" t="s">
        <v>390</v>
      </c>
      <c r="D115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Nana</v>
      </c>
      <c r="E115" t="s">
        <v>86</v>
      </c>
      <c r="F115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Williams</v>
      </c>
      <c r="G115" s="9">
        <v>130</v>
      </c>
      <c r="H115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115" t="s">
        <v>88</v>
      </c>
      <c r="J115" t="str">
        <f t="shared" si="48"/>
        <v>Female</v>
      </c>
      <c r="L115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15" t="s">
        <v>176</v>
      </c>
      <c r="N115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115" t="s">
        <v>27</v>
      </c>
      <c r="P115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115" t="s">
        <v>91</v>
      </c>
      <c r="R115" t="str">
        <f t="shared" si="49"/>
        <v>Lagos</v>
      </c>
      <c r="S115" t="s">
        <v>711</v>
      </c>
      <c r="T115" s="8">
        <f>IF(S115="","",IF(ISNUMBER(S115),S115,IF(AND(LEN(S115)=10,MID(S115,5,1)="-"),IFERROR(DATE(VALUE(LEFT(S115,4)),VALUE(MID(S115,6,2)),VALUE(RIGHT(S115,2))),"Invalid Date"),IF(AND(LEN(S115)=10,MID(S115,3,1)="/"),IFERROR(DATE(VALUE(RIGHT(S115,4)),VALUE(MID(S115,4,2)),VALUE(LEFT(S115,2))),"Invalid Date"),IF(AND(LEN(S115)=10,MID(S115,5,1)="/"),"Invalid Date",IFERROR(DATE(VALUE(RIGHT(S115,4)),MATCH(LEFT(S115,3),{"Jan","Feb","Mar","Apr","May","Jun","Jul","Aug","Sep","Oct","Nov","Dec"},0),VALUE(MID(S115,5,FIND(",",S115)-5))),"Invalid Date"))))))</f>
        <v>46121</v>
      </c>
      <c r="U115" t="s">
        <v>111</v>
      </c>
      <c r="V115" t="str">
        <f t="shared" si="50"/>
        <v>Follow-up</v>
      </c>
      <c r="W115" t="s">
        <v>195</v>
      </c>
      <c r="X115" t="str">
        <f t="shared" si="51"/>
        <v>Skin Rash</v>
      </c>
      <c r="Y115" t="s">
        <v>477</v>
      </c>
      <c r="Z115" t="str">
        <f t="shared" si="52"/>
        <v/>
      </c>
      <c r="AA115" t="str">
        <f t="shared" si="53"/>
        <v>Missing</v>
      </c>
      <c r="AC115" s="6" t="str">
        <f t="shared" si="38"/>
        <v/>
      </c>
      <c r="AD115" s="6" t="str">
        <f t="shared" si="54"/>
        <v>Missing</v>
      </c>
      <c r="AE115" t="s">
        <v>80</v>
      </c>
      <c r="AF115">
        <f t="shared" si="55"/>
        <v>80</v>
      </c>
      <c r="AG115" t="str">
        <f t="shared" si="56"/>
        <v>Valid</v>
      </c>
      <c r="AH115" t="s">
        <v>114</v>
      </c>
      <c r="AI115" t="str">
        <f t="shared" si="57"/>
        <v>NHIS</v>
      </c>
      <c r="AJ115" s="5" t="s">
        <v>712</v>
      </c>
      <c r="AK115">
        <f>IF(TRIM(AJ115)="","",IF(LOWER(TRIM(AJ115))="one hundred",100,IFERROR(IF(VALUE(SUBSTITUTE(UPPER(TRIM(AJ115)),"GHS",""))&lt;0,"",VALUE(SUBSTITUTE(UPPER(TRIM(AJ115)),"GHS",""))),"")))</f>
        <v>41.88</v>
      </c>
      <c r="AL115" t="s">
        <v>53</v>
      </c>
      <c r="AM115">
        <f t="shared" si="58"/>
        <v>0</v>
      </c>
      <c r="AN115" t="s">
        <v>117</v>
      </c>
      <c r="AO115" t="str">
        <f t="shared" si="59"/>
        <v>Refunded</v>
      </c>
      <c r="AP115">
        <f>IF(OR(MessyClinicPatients[[#This Row],[Clean Total Bill]]="",MessyClinicPatients[[#This Row],[Clean Amount Paid]]=""),"",MessyClinicPatients[[#This Row],[Clean Total Bill]]-MessyClinicPatients[[#This Row],[Clean Amount Paid]])</f>
        <v>41.88</v>
      </c>
      <c r="AQ115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R115" t="s">
        <v>148</v>
      </c>
      <c r="AS115" t="str">
        <f t="shared" si="60"/>
        <v>Dr. Mensah</v>
      </c>
      <c r="AT115" t="s">
        <v>171</v>
      </c>
      <c r="AU115" t="str">
        <f t="shared" si="61"/>
        <v>Allergy: Penicillin</v>
      </c>
    </row>
    <row r="116" spans="1:47" ht="18" customHeight="1">
      <c r="B116" t="str">
        <f t="shared" si="47"/>
        <v/>
      </c>
      <c r="C116" t="s">
        <v>452</v>
      </c>
      <c r="D116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Daniel</v>
      </c>
      <c r="E116" t="s">
        <v>461</v>
      </c>
      <c r="F116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Brown</v>
      </c>
      <c r="G116" s="9">
        <v>130</v>
      </c>
      <c r="H116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116" t="s">
        <v>183</v>
      </c>
      <c r="J116" t="str">
        <f t="shared" si="48"/>
        <v>Male</v>
      </c>
      <c r="L116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16" t="s">
        <v>176</v>
      </c>
      <c r="N116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116" t="s">
        <v>713</v>
      </c>
      <c r="P116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Q116" t="s">
        <v>101</v>
      </c>
      <c r="R116" t="str">
        <f t="shared" si="49"/>
        <v>Accra</v>
      </c>
      <c r="T116" s="8" t="str">
        <f>IF(S116="","",IF(ISNUMBER(S116),S116,IF(AND(LEN(S116)=10,MID(S116,5,1)="-"),IFERROR(DATE(VALUE(LEFT(S116,4)),VALUE(MID(S116,6,2)),VALUE(RIGHT(S116,2))),"Invalid Date"),IF(AND(LEN(S116)=10,MID(S116,3,1)="/"),IFERROR(DATE(VALUE(RIGHT(S116,4)),VALUE(MID(S116,4,2)),VALUE(LEFT(S116,2))),"Invalid Date"),IF(AND(LEN(S116)=10,MID(S116,5,1)="/"),"Invalid Date",IFERROR(DATE(VALUE(RIGHT(S116,4)),MATCH(LEFT(S116,3),{"Jan","Feb","Mar","Apr","May","Jun","Jul","Aug","Sep","Oct","Nov","Dec"},0),VALUE(MID(S116,5,FIND(",",S116)-5))),"Invalid Date"))))))</f>
        <v/>
      </c>
      <c r="U116" t="s">
        <v>144</v>
      </c>
      <c r="V116" t="str">
        <f t="shared" si="50"/>
        <v>Consultation</v>
      </c>
      <c r="W116" t="s">
        <v>49</v>
      </c>
      <c r="X116" t="str">
        <f t="shared" si="51"/>
        <v>None</v>
      </c>
      <c r="Y116" t="s">
        <v>714</v>
      </c>
      <c r="Z116" t="str">
        <f t="shared" si="52"/>
        <v/>
      </c>
      <c r="AA116" t="str">
        <f t="shared" si="53"/>
        <v>Missing</v>
      </c>
      <c r="AB116" t="s">
        <v>378</v>
      </c>
      <c r="AC116" s="6">
        <f t="shared" si="38"/>
        <v>37.9</v>
      </c>
      <c r="AD116" s="6" t="str">
        <f t="shared" si="54"/>
        <v>Valid</v>
      </c>
      <c r="AE116" t="s">
        <v>80</v>
      </c>
      <c r="AF116">
        <f t="shared" si="55"/>
        <v>80</v>
      </c>
      <c r="AG116" t="str">
        <f t="shared" si="56"/>
        <v>Valid</v>
      </c>
      <c r="AH116" t="s">
        <v>93</v>
      </c>
      <c r="AI116" t="str">
        <f t="shared" si="57"/>
        <v>Private</v>
      </c>
      <c r="AJ116" s="5" t="s">
        <v>715</v>
      </c>
      <c r="AK116">
        <f>IF(TRIM(AJ116)="","",IF(LOWER(TRIM(AJ116))="one hundred",100,IFERROR(IF(VALUE(SUBSTITUTE(UPPER(TRIM(AJ116)),"GHS",""))&lt;0,"",VALUE(SUBSTITUTE(UPPER(TRIM(AJ116)),"GHS",""))),"")))</f>
        <v>31.09</v>
      </c>
      <c r="AL116" t="s">
        <v>716</v>
      </c>
      <c r="AM116">
        <f t="shared" si="58"/>
        <v>6.97</v>
      </c>
      <c r="AN116" t="s">
        <v>147</v>
      </c>
      <c r="AO116" t="str">
        <f t="shared" si="59"/>
        <v>Paid</v>
      </c>
      <c r="AP116">
        <f>IF(OR(MessyClinicPatients[[#This Row],[Clean Total Bill]]="",MessyClinicPatients[[#This Row],[Clean Amount Paid]]=""),"",MessyClinicPatients[[#This Row],[Clean Total Bill]]-MessyClinicPatients[[#This Row],[Clean Amount Paid]])</f>
        <v>24.12</v>
      </c>
      <c r="AQ116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116" t="s">
        <v>148</v>
      </c>
      <c r="AS116" t="str">
        <f t="shared" si="60"/>
        <v>Dr. Mensah</v>
      </c>
      <c r="AT116" t="s">
        <v>97</v>
      </c>
      <c r="AU116" t="str">
        <f t="shared" si="61"/>
        <v>Patient Came Late</v>
      </c>
    </row>
    <row r="117" spans="1:47" ht="18" customHeight="1">
      <c r="A117" t="s">
        <v>717</v>
      </c>
      <c r="B117" t="str">
        <f t="shared" si="47"/>
        <v>P-1116</v>
      </c>
      <c r="C117" t="s">
        <v>212</v>
      </c>
      <c r="D117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Victoria</v>
      </c>
      <c r="E117" t="s">
        <v>23</v>
      </c>
      <c r="F117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Adebayo</v>
      </c>
      <c r="G117" s="9">
        <v>-3</v>
      </c>
      <c r="H117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117" t="s">
        <v>151</v>
      </c>
      <c r="J117" t="str">
        <f t="shared" si="48"/>
        <v>Male</v>
      </c>
      <c r="L117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17" t="s">
        <v>718</v>
      </c>
      <c r="N117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0245240244</v>
      </c>
      <c r="O117" t="s">
        <v>719</v>
      </c>
      <c r="P117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victoria.adebayo@email.com</v>
      </c>
      <c r="Q117" t="s">
        <v>132</v>
      </c>
      <c r="R117" t="str">
        <f t="shared" si="49"/>
        <v>Kano</v>
      </c>
      <c r="T117" s="8" t="str">
        <f>IF(S117="","",IF(ISNUMBER(S117),S117,IF(AND(LEN(S117)=10,MID(S117,5,1)="-"),IFERROR(DATE(VALUE(LEFT(S117,4)),VALUE(MID(S117,6,2)),VALUE(RIGHT(S117,2))),"Invalid Date"),IF(AND(LEN(S117)=10,MID(S117,3,1)="/"),IFERROR(DATE(VALUE(RIGHT(S117,4)),VALUE(MID(S117,4,2)),VALUE(LEFT(S117,2))),"Invalid Date"),IF(AND(LEN(S117)=10,MID(S117,5,1)="/"),"Invalid Date",IFERROR(DATE(VALUE(RIGHT(S117,4)),MATCH(LEFT(S117,3),{"Jan","Feb","Mar","Apr","May","Jun","Jul","Aug","Sep","Oct","Nov","Dec"},0),VALUE(MID(S117,5,FIND(",",S117)-5))),"Invalid Date"))))))</f>
        <v/>
      </c>
      <c r="U117" t="s">
        <v>296</v>
      </c>
      <c r="V117" t="str">
        <f t="shared" si="50"/>
        <v>Lab Test</v>
      </c>
      <c r="W117" t="s">
        <v>224</v>
      </c>
      <c r="X117" t="str">
        <f t="shared" si="51"/>
        <v>Diabetes</v>
      </c>
      <c r="Y117" t="s">
        <v>145</v>
      </c>
      <c r="Z117" t="str">
        <f t="shared" si="52"/>
        <v>120/80</v>
      </c>
      <c r="AA117" t="str">
        <f t="shared" si="53"/>
        <v>Valid</v>
      </c>
      <c r="AB117" t="s">
        <v>720</v>
      </c>
      <c r="AC117" s="6">
        <f t="shared" si="38"/>
        <v>37.4</v>
      </c>
      <c r="AD117" s="6" t="str">
        <f t="shared" si="54"/>
        <v>Valid</v>
      </c>
      <c r="AE117" t="s">
        <v>721</v>
      </c>
      <c r="AF117">
        <f t="shared" si="55"/>
        <v>36.1</v>
      </c>
      <c r="AG117" t="str">
        <f t="shared" si="56"/>
        <v>Valid</v>
      </c>
      <c r="AH117" t="s">
        <v>114</v>
      </c>
      <c r="AI117" t="str">
        <f t="shared" si="57"/>
        <v>NHIS</v>
      </c>
      <c r="AJ117" s="5" t="s">
        <v>722</v>
      </c>
      <c r="AK117">
        <f>IF(TRIM(AJ117)="","",IF(LOWER(TRIM(AJ117))="one hundred",100,IFERROR(IF(VALUE(SUBSTITUTE(UPPER(TRIM(AJ117)),"GHS",""))&lt;0,"",VALUE(SUBSTITUTE(UPPER(TRIM(AJ117)),"GHS",""))),"")))</f>
        <v>403.77</v>
      </c>
      <c r="AL117" t="s">
        <v>53</v>
      </c>
      <c r="AM117">
        <f t="shared" si="58"/>
        <v>0</v>
      </c>
      <c r="AN117" t="s">
        <v>137</v>
      </c>
      <c r="AO117" t="str">
        <f t="shared" si="59"/>
        <v>Unpaid</v>
      </c>
      <c r="AP117">
        <f>IF(OR(MessyClinicPatients[[#This Row],[Clean Total Bill]]="",MessyClinicPatients[[#This Row],[Clean Amount Paid]]=""),"",MessyClinicPatients[[#This Row],[Clean Total Bill]]-MessyClinicPatients[[#This Row],[Clean Amount Paid]])</f>
        <v>403.77</v>
      </c>
      <c r="AQ117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R117" t="s">
        <v>69</v>
      </c>
      <c r="AS117" t="str">
        <f t="shared" si="60"/>
        <v>Dr. Mensah</v>
      </c>
      <c r="AT117" t="s">
        <v>274</v>
      </c>
      <c r="AU117" t="str">
        <f t="shared" si="61"/>
        <v>Repeated Record?</v>
      </c>
    </row>
    <row r="118" spans="1:47" ht="18" customHeight="1">
      <c r="A118" t="s">
        <v>723</v>
      </c>
      <c r="B118" t="str">
        <f t="shared" si="47"/>
        <v>P-0117</v>
      </c>
      <c r="C118" t="s">
        <v>212</v>
      </c>
      <c r="D118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Victoria</v>
      </c>
      <c r="E118" t="s">
        <v>219</v>
      </c>
      <c r="F118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Yakubu</v>
      </c>
      <c r="H118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118" t="s">
        <v>74</v>
      </c>
      <c r="J118" t="str">
        <f t="shared" si="48"/>
        <v>Female</v>
      </c>
      <c r="L118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18" t="s">
        <v>724</v>
      </c>
      <c r="N118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0244484526</v>
      </c>
      <c r="O118" t="s">
        <v>725</v>
      </c>
      <c r="P118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victoria.yakubu@email.com</v>
      </c>
      <c r="Q118" t="s">
        <v>289</v>
      </c>
      <c r="R118" t="str">
        <f t="shared" si="49"/>
        <v>Enugu</v>
      </c>
      <c r="S118" t="s">
        <v>726</v>
      </c>
      <c r="T118" s="8">
        <f>IF(S118="","",IF(ISNUMBER(S118),S118,IF(AND(LEN(S118)=10,MID(S118,5,1)="-"),IFERROR(DATE(VALUE(LEFT(S118,4)),VALUE(MID(S118,6,2)),VALUE(RIGHT(S118,2))),"Invalid Date"),IF(AND(LEN(S118)=10,MID(S118,3,1)="/"),IFERROR(DATE(VALUE(RIGHT(S118,4)),VALUE(MID(S118,4,2)),VALUE(LEFT(S118,2))),"Invalid Date"),IF(AND(LEN(S118)=10,MID(S118,5,1)="/"),"Invalid Date",IFERROR(DATE(VALUE(RIGHT(S118,4)),MATCH(LEFT(S118,3),{"Jan","Feb","Mar","Apr","May","Jun","Jul","Aug","Sep","Oct","Nov","Dec"},0),VALUE(MID(S118,5,FIND(",",S118)-5))),"Invalid Date"))))))</f>
        <v>46045</v>
      </c>
      <c r="U118" t="s">
        <v>144</v>
      </c>
      <c r="V118" t="str">
        <f t="shared" si="50"/>
        <v>Consultation</v>
      </c>
      <c r="W118" t="s">
        <v>103</v>
      </c>
      <c r="X118" t="str">
        <f t="shared" si="51"/>
        <v>Diabetes</v>
      </c>
      <c r="Y118" t="s">
        <v>727</v>
      </c>
      <c r="Z118" t="str">
        <f t="shared" si="52"/>
        <v>106/109</v>
      </c>
      <c r="AA118" t="str">
        <f t="shared" si="53"/>
        <v>Valid</v>
      </c>
      <c r="AB118" t="s">
        <v>33</v>
      </c>
      <c r="AC118" s="6" t="str">
        <f t="shared" si="38"/>
        <v/>
      </c>
      <c r="AD118" s="6" t="str">
        <f t="shared" si="54"/>
        <v>Missing</v>
      </c>
      <c r="AE118" t="s">
        <v>238</v>
      </c>
      <c r="AF118" t="str">
        <f t="shared" si="55"/>
        <v/>
      </c>
      <c r="AG118" t="str">
        <f t="shared" si="56"/>
        <v>Missing</v>
      </c>
      <c r="AH118" t="s">
        <v>49</v>
      </c>
      <c r="AI118" t="str">
        <f t="shared" si="57"/>
        <v>None</v>
      </c>
      <c r="AJ118" s="5" t="s">
        <v>728</v>
      </c>
      <c r="AK118">
        <f>IF(TRIM(AJ118)="","",IF(LOWER(TRIM(AJ118))="one hundred",100,IFERROR(IF(VALUE(SUBSTITUTE(UPPER(TRIM(AJ118)),"GHS",""))&lt;0,"",VALUE(SUBSTITUTE(UPPER(TRIM(AJ118)),"GHS",""))),"")))</f>
        <v>504.43</v>
      </c>
      <c r="AL118" t="s">
        <v>729</v>
      </c>
      <c r="AM118">
        <f t="shared" si="58"/>
        <v>337.47</v>
      </c>
      <c r="AN118" t="s">
        <v>117</v>
      </c>
      <c r="AO118" t="str">
        <f t="shared" si="59"/>
        <v>Refunded</v>
      </c>
      <c r="AP118">
        <f>IF(OR(MessyClinicPatients[[#This Row],[Clean Total Bill]]="",MessyClinicPatients[[#This Row],[Clean Amount Paid]]=""),"",MessyClinicPatients[[#This Row],[Clean Total Bill]]-MessyClinicPatients[[#This Row],[Clean Amount Paid]])</f>
        <v>166.95999999999998</v>
      </c>
      <c r="AQ118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118" t="s">
        <v>83</v>
      </c>
      <c r="AS118" t="str">
        <f t="shared" si="60"/>
        <v>Dr. Patel</v>
      </c>
      <c r="AT118" t="s">
        <v>171</v>
      </c>
      <c r="AU118" t="str">
        <f t="shared" si="61"/>
        <v>Allergy: Penicillin</v>
      </c>
    </row>
    <row r="119" spans="1:47" ht="18" customHeight="1">
      <c r="A119" t="s">
        <v>730</v>
      </c>
      <c r="B119" t="str">
        <f t="shared" si="47"/>
        <v>P-0118</v>
      </c>
      <c r="C119" t="s">
        <v>356</v>
      </c>
      <c r="D119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Linda</v>
      </c>
      <c r="E119" t="s">
        <v>100</v>
      </c>
      <c r="F119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Diallo</v>
      </c>
      <c r="G119" s="9">
        <v>-3</v>
      </c>
      <c r="H119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119" t="s">
        <v>88</v>
      </c>
      <c r="J119" t="str">
        <f t="shared" si="48"/>
        <v>Female</v>
      </c>
      <c r="L119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19" t="s">
        <v>731</v>
      </c>
      <c r="N119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3417793793</v>
      </c>
      <c r="O119" t="s">
        <v>27</v>
      </c>
      <c r="P119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119" t="s">
        <v>91</v>
      </c>
      <c r="R119" t="str">
        <f t="shared" si="49"/>
        <v>Lagos</v>
      </c>
      <c r="S119" t="s">
        <v>732</v>
      </c>
      <c r="T119" s="8">
        <f>IF(S119="","",IF(ISNUMBER(S119),S119,IF(AND(LEN(S119)=10,MID(S119,5,1)="-"),IFERROR(DATE(VALUE(LEFT(S119,4)),VALUE(MID(S119,6,2)),VALUE(RIGHT(S119,2))),"Invalid Date"),IF(AND(LEN(S119)=10,MID(S119,3,1)="/"),IFERROR(DATE(VALUE(RIGHT(S119,4)),VALUE(MID(S119,4,2)),VALUE(LEFT(S119,2))),"Invalid Date"),IF(AND(LEN(S119)=10,MID(S119,5,1)="/"),"Invalid Date",IFERROR(DATE(VALUE(RIGHT(S119,4)),MATCH(LEFT(S119,3),{"Jan","Feb","Mar","Apr","May","Jun","Jul","Aug","Sep","Oct","Nov","Dec"},0),VALUE(MID(S119,5,FIND(",",S119)-5))),"Invalid Date"))))))</f>
        <v>46182</v>
      </c>
      <c r="U119" t="s">
        <v>77</v>
      </c>
      <c r="V119" t="str">
        <f t="shared" si="50"/>
        <v>Emergency</v>
      </c>
      <c r="W119" t="s">
        <v>65</v>
      </c>
      <c r="X119" t="str">
        <f t="shared" si="51"/>
        <v>Hypertension</v>
      </c>
      <c r="Y119" t="s">
        <v>179</v>
      </c>
      <c r="Z119" t="str">
        <f t="shared" si="52"/>
        <v/>
      </c>
      <c r="AA119" t="str">
        <f t="shared" si="53"/>
        <v>Missing</v>
      </c>
      <c r="AB119" t="s">
        <v>733</v>
      </c>
      <c r="AC119" s="6">
        <f t="shared" si="38"/>
        <v>36.333333333333336</v>
      </c>
      <c r="AD119" s="6" t="str">
        <f t="shared" si="54"/>
        <v>Fahrenheit Converted</v>
      </c>
      <c r="AE119" t="s">
        <v>238</v>
      </c>
      <c r="AF119" t="str">
        <f t="shared" si="55"/>
        <v/>
      </c>
      <c r="AG119" t="str">
        <f t="shared" si="56"/>
        <v>Missing</v>
      </c>
      <c r="AH119" t="s">
        <v>81</v>
      </c>
      <c r="AI119" t="str">
        <f t="shared" si="57"/>
        <v>NHIS</v>
      </c>
      <c r="AJ119" s="5" t="s">
        <v>734</v>
      </c>
      <c r="AK119">
        <f>IF(TRIM(AJ119)="","",IF(LOWER(TRIM(AJ119))="one hundred",100,IFERROR(IF(VALUE(SUBSTITUTE(UPPER(TRIM(AJ119)),"GHS",""))&lt;0,"",VALUE(SUBSTITUTE(UPPER(TRIM(AJ119)),"GHS",""))),"")))</f>
        <v>529.52</v>
      </c>
      <c r="AL119" t="s">
        <v>53</v>
      </c>
      <c r="AM119">
        <f t="shared" si="58"/>
        <v>0</v>
      </c>
      <c r="AN119" t="s">
        <v>117</v>
      </c>
      <c r="AO119" t="str">
        <f t="shared" si="59"/>
        <v>Refunded</v>
      </c>
      <c r="AP119">
        <f>IF(OR(MessyClinicPatients[[#This Row],[Clean Total Bill]]="",MessyClinicPatients[[#This Row],[Clean Amount Paid]]=""),"",MessyClinicPatients[[#This Row],[Clean Total Bill]]-MessyClinicPatients[[#This Row],[Clean Amount Paid]])</f>
        <v>529.52</v>
      </c>
      <c r="AQ119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R119" t="s">
        <v>96</v>
      </c>
      <c r="AS119" t="str">
        <f t="shared" si="60"/>
        <v>Nurse Amina</v>
      </c>
      <c r="AT119" t="s">
        <v>274</v>
      </c>
      <c r="AU119" t="str">
        <f t="shared" si="61"/>
        <v>Repeated Record?</v>
      </c>
    </row>
    <row r="120" spans="1:47" ht="18" customHeight="1">
      <c r="B120" t="str">
        <f t="shared" si="47"/>
        <v/>
      </c>
      <c r="C120" t="s">
        <v>735</v>
      </c>
      <c r="D120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John</v>
      </c>
      <c r="E120" t="s">
        <v>219</v>
      </c>
      <c r="F120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Yakubu</v>
      </c>
      <c r="G120" s="9">
        <v>-3</v>
      </c>
      <c r="H120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120" t="s">
        <v>59</v>
      </c>
      <c r="J120" t="str">
        <f t="shared" si="48"/>
        <v>Female</v>
      </c>
      <c r="L120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N120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120" t="s">
        <v>736</v>
      </c>
      <c r="P120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Q120" t="s">
        <v>227</v>
      </c>
      <c r="R120" t="str">
        <f t="shared" si="49"/>
        <v>accra</v>
      </c>
      <c r="T120" s="8" t="str">
        <f>IF(S120="","",IF(ISNUMBER(S120),S120,IF(AND(LEN(S120)=10,MID(S120,5,1)="-"),IFERROR(DATE(VALUE(LEFT(S120,4)),VALUE(MID(S120,6,2)),VALUE(RIGHT(S120,2))),"Invalid Date"),IF(AND(LEN(S120)=10,MID(S120,3,1)="/"),IFERROR(DATE(VALUE(RIGHT(S120,4)),VALUE(MID(S120,4,2)),VALUE(LEFT(S120,2))),"Invalid Date"),IF(AND(LEN(S120)=10,MID(S120,5,1)="/"),"Invalid Date",IFERROR(DATE(VALUE(RIGHT(S120,4)),MATCH(LEFT(S120,3),{"Jan","Feb","Mar","Apr","May","Jun","Jul","Aug","Sep","Oct","Nov","Dec"},0),VALUE(MID(S120,5,FIND(",",S120)-5))),"Invalid Date"))))))</f>
        <v/>
      </c>
      <c r="U120" t="s">
        <v>134</v>
      </c>
      <c r="V120" t="str">
        <f t="shared" si="50"/>
        <v>Follow-up</v>
      </c>
      <c r="W120" t="s">
        <v>167</v>
      </c>
      <c r="X120" t="str">
        <f t="shared" si="51"/>
        <v>Pregnancy</v>
      </c>
      <c r="Z120" t="str">
        <f t="shared" si="52"/>
        <v/>
      </c>
      <c r="AA120" t="str">
        <f t="shared" si="53"/>
        <v>Missing</v>
      </c>
      <c r="AC120" s="6" t="str">
        <f t="shared" si="38"/>
        <v/>
      </c>
      <c r="AD120" s="6" t="str">
        <f t="shared" si="54"/>
        <v>Missing</v>
      </c>
      <c r="AE120" t="s">
        <v>80</v>
      </c>
      <c r="AF120">
        <f t="shared" si="55"/>
        <v>80</v>
      </c>
      <c r="AG120" t="str">
        <f t="shared" si="56"/>
        <v>Valid</v>
      </c>
      <c r="AH120" t="s">
        <v>35</v>
      </c>
      <c r="AI120" t="str">
        <f t="shared" si="57"/>
        <v>Corporate</v>
      </c>
      <c r="AJ120" s="5" t="s">
        <v>737</v>
      </c>
      <c r="AK120">
        <f>IF(TRIM(AJ120)="","",IF(LOWER(TRIM(AJ120))="one hundred",100,IFERROR(IF(VALUE(SUBSTITUTE(UPPER(TRIM(AJ120)),"GHS",""))&lt;0,"",VALUE(SUBSTITUTE(UPPER(TRIM(AJ120)),"GHS",""))),"")))</f>
        <v>85.5</v>
      </c>
      <c r="AL120" t="s">
        <v>737</v>
      </c>
      <c r="AM120">
        <f t="shared" si="58"/>
        <v>85.5</v>
      </c>
      <c r="AO120" t="str">
        <f t="shared" si="59"/>
        <v/>
      </c>
      <c r="AP120">
        <f>IF(OR(MessyClinicPatients[[#This Row],[Clean Total Bill]]="",MessyClinicPatients[[#This Row],[Clean Amount Paid]]=""),"",MessyClinicPatients[[#This Row],[Clean Total Bill]]-MessyClinicPatients[[#This Row],[Clean Amount Paid]])</f>
        <v>0</v>
      </c>
      <c r="AQ120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S120" t="str">
        <f t="shared" si="60"/>
        <v/>
      </c>
      <c r="AT120" t="s">
        <v>97</v>
      </c>
      <c r="AU120" t="str">
        <f t="shared" si="61"/>
        <v>Patient Came Late</v>
      </c>
    </row>
    <row r="121" spans="1:47" ht="18" customHeight="1">
      <c r="A121" t="s">
        <v>738</v>
      </c>
      <c r="B121" t="str">
        <f t="shared" si="47"/>
        <v>P-0120</v>
      </c>
      <c r="C121" t="s">
        <v>99</v>
      </c>
      <c r="D121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Fatima</v>
      </c>
      <c r="E121" t="s">
        <v>120</v>
      </c>
      <c r="F121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Taylor</v>
      </c>
      <c r="G121" s="9">
        <v>79</v>
      </c>
      <c r="H121" t="str">
        <f>IF(OR(MessyClinicPatients[[#This Row],[Age]]="",MessyClinicPatients[[#This Row],[Age]]="unknown"),"Missing",IF(OR(MessyClinicPatients[[#This Row],[Age]]&lt;0,MessyClinicPatients[[#This Row],[Age]]&gt;120),"Invalid Age","Valid"))</f>
        <v>Valid</v>
      </c>
      <c r="I121" t="s">
        <v>88</v>
      </c>
      <c r="J121" t="str">
        <f t="shared" si="48"/>
        <v>Female</v>
      </c>
      <c r="L121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21" t="s">
        <v>740</v>
      </c>
      <c r="N121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3691769055</v>
      </c>
      <c r="P121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121" t="s">
        <v>289</v>
      </c>
      <c r="R121" t="str">
        <f t="shared" si="49"/>
        <v>Enugu</v>
      </c>
      <c r="S121" t="s">
        <v>741</v>
      </c>
      <c r="T121" s="8">
        <f>IF(S121="","",IF(ISNUMBER(S121),S121,IF(AND(LEN(S121)=10,MID(S121,5,1)="-"),IFERROR(DATE(VALUE(LEFT(S121,4)),VALUE(MID(S121,6,2)),VALUE(RIGHT(S121,2))),"Invalid Date"),IF(AND(LEN(S121)=10,MID(S121,3,1)="/"),IFERROR(DATE(VALUE(RIGHT(S121,4)),VALUE(MID(S121,4,2)),VALUE(LEFT(S121,2))),"Invalid Date"),IF(AND(LEN(S121)=10,MID(S121,5,1)="/"),"Invalid Date",IFERROR(DATE(VALUE(RIGHT(S121,4)),MATCH(LEFT(S121,3),{"Jan","Feb","Mar","Apr","May","Jun","Jul","Aug","Sep","Oct","Nov","Dec"},0),VALUE(MID(S121,5,FIND(",",S121)-5))),"Invalid Date"))))))</f>
        <v>46094</v>
      </c>
      <c r="U121" t="s">
        <v>144</v>
      </c>
      <c r="V121" t="str">
        <f t="shared" si="50"/>
        <v>Consultation</v>
      </c>
      <c r="W121" t="s">
        <v>103</v>
      </c>
      <c r="X121" t="str">
        <f t="shared" si="51"/>
        <v>Diabetes</v>
      </c>
      <c r="Y121" t="s">
        <v>179</v>
      </c>
      <c r="Z121" t="str">
        <f t="shared" si="52"/>
        <v/>
      </c>
      <c r="AA121" t="str">
        <f t="shared" si="53"/>
        <v>Missing</v>
      </c>
      <c r="AB121" t="s">
        <v>592</v>
      </c>
      <c r="AC121" s="6">
        <f t="shared" si="38"/>
        <v>37.6</v>
      </c>
      <c r="AD121" s="6" t="str">
        <f t="shared" si="54"/>
        <v>Valid</v>
      </c>
      <c r="AE121" t="s">
        <v>238</v>
      </c>
      <c r="AF121" t="str">
        <f t="shared" si="55"/>
        <v/>
      </c>
      <c r="AG121" t="str">
        <f t="shared" si="56"/>
        <v>Missing</v>
      </c>
      <c r="AI121" t="str">
        <f t="shared" si="57"/>
        <v/>
      </c>
      <c r="AJ121" s="5" t="s">
        <v>742</v>
      </c>
      <c r="AK121">
        <f>IF(TRIM(AJ121)="","",IF(LOWER(TRIM(AJ121))="one hundred",100,IFERROR(IF(VALUE(SUBSTITUTE(UPPER(TRIM(AJ121)),"GHS",""))&lt;0,"",VALUE(SUBSTITUTE(UPPER(TRIM(AJ121)),"GHS",""))),"")))</f>
        <v>314.02</v>
      </c>
      <c r="AM121" t="str">
        <f t="shared" si="58"/>
        <v/>
      </c>
      <c r="AN121" t="s">
        <v>95</v>
      </c>
      <c r="AO121" t="str">
        <f t="shared" si="59"/>
        <v>Pending</v>
      </c>
      <c r="AP121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121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Pending</v>
      </c>
      <c r="AR121" t="s">
        <v>148</v>
      </c>
      <c r="AS121" t="str">
        <f t="shared" si="60"/>
        <v>Dr. Mensah</v>
      </c>
      <c r="AT121" t="s">
        <v>171</v>
      </c>
      <c r="AU121" t="str">
        <f t="shared" si="61"/>
        <v>Allergy: Penicillin</v>
      </c>
    </row>
    <row r="122" spans="1:47" ht="18" customHeight="1">
      <c r="A122" t="s">
        <v>743</v>
      </c>
      <c r="B122" t="str">
        <f t="shared" si="47"/>
        <v>P-0121</v>
      </c>
      <c r="C122" t="s">
        <v>193</v>
      </c>
      <c r="D122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Blessing</v>
      </c>
      <c r="E122" t="s">
        <v>140</v>
      </c>
      <c r="F122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Smith</v>
      </c>
      <c r="G122" s="9">
        <v>130</v>
      </c>
      <c r="H122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122" t="s">
        <v>88</v>
      </c>
      <c r="J122" t="str">
        <f t="shared" si="48"/>
        <v>Female</v>
      </c>
      <c r="L122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22" t="s">
        <v>744</v>
      </c>
      <c r="N122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0248653898</v>
      </c>
      <c r="P122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122" t="s">
        <v>101</v>
      </c>
      <c r="R122" t="str">
        <f t="shared" si="49"/>
        <v>Accra</v>
      </c>
      <c r="S122" t="s">
        <v>92</v>
      </c>
      <c r="T122" s="8" t="str">
        <f>IF(S122="","",IF(ISNUMBER(S122),S122,IF(AND(LEN(S122)=10,MID(S122,5,1)="-"),IFERROR(DATE(VALUE(LEFT(S122,4)),VALUE(MID(S122,6,2)),VALUE(RIGHT(S122,2))),"Invalid Date"),IF(AND(LEN(S122)=10,MID(S122,3,1)="/"),IFERROR(DATE(VALUE(RIGHT(S122,4)),VALUE(MID(S122,4,2)),VALUE(LEFT(S122,2))),"Invalid Date"),IF(AND(LEN(S122)=10,MID(S122,5,1)="/"),"Invalid Date",IFERROR(DATE(VALUE(RIGHT(S122,4)),MATCH(LEFT(S122,3),{"Jan","Feb","Mar","Apr","May","Jun","Jul","Aug","Sep","Oct","Nov","Dec"},0),VALUE(MID(S122,5,FIND(",",S122)-5))),"Invalid Date"))))))</f>
        <v>Invalid Date</v>
      </c>
      <c r="U122" t="s">
        <v>77</v>
      </c>
      <c r="V122" t="str">
        <f t="shared" si="50"/>
        <v>Emergency</v>
      </c>
      <c r="W122" t="s">
        <v>78</v>
      </c>
      <c r="X122" t="str">
        <f t="shared" si="51"/>
        <v>Back Pain</v>
      </c>
      <c r="Y122" t="s">
        <v>145</v>
      </c>
      <c r="Z122" t="str">
        <f t="shared" si="52"/>
        <v>120/80</v>
      </c>
      <c r="AA122" t="str">
        <f t="shared" si="53"/>
        <v>Valid</v>
      </c>
      <c r="AB122" t="s">
        <v>33</v>
      </c>
      <c r="AC122" s="6" t="str">
        <f t="shared" si="38"/>
        <v/>
      </c>
      <c r="AD122" s="6" t="str">
        <f t="shared" si="54"/>
        <v>Missing</v>
      </c>
      <c r="AE122" t="s">
        <v>80</v>
      </c>
      <c r="AF122">
        <f t="shared" si="55"/>
        <v>80</v>
      </c>
      <c r="AG122" t="str">
        <f t="shared" si="56"/>
        <v>Valid</v>
      </c>
      <c r="AH122" t="s">
        <v>49</v>
      </c>
      <c r="AI122" t="str">
        <f t="shared" si="57"/>
        <v>None</v>
      </c>
      <c r="AJ122" s="5" t="s">
        <v>745</v>
      </c>
      <c r="AK122">
        <f>IF(TRIM(AJ122)="","",IF(LOWER(TRIM(AJ122))="one hundred",100,IFERROR(IF(VALUE(SUBSTITUTE(UPPER(TRIM(AJ122)),"GHS",""))&lt;0,"",VALUE(SUBSTITUTE(UPPER(TRIM(AJ122)),"GHS",""))),"")))</f>
        <v>367.97</v>
      </c>
      <c r="AL122" t="s">
        <v>53</v>
      </c>
      <c r="AM122">
        <f t="shared" si="58"/>
        <v>0</v>
      </c>
      <c r="AO122" t="str">
        <f t="shared" si="59"/>
        <v/>
      </c>
      <c r="AP122">
        <f>IF(OR(MessyClinicPatients[[#This Row],[Clean Total Bill]]="",MessyClinicPatients[[#This Row],[Clean Amount Paid]]=""),"",MessyClinicPatients[[#This Row],[Clean Total Bill]]-MessyClinicPatients[[#This Row],[Clean Amount Paid]])</f>
        <v>367.97</v>
      </c>
      <c r="AQ122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S122" t="str">
        <f t="shared" si="60"/>
        <v/>
      </c>
      <c r="AT122" t="s">
        <v>159</v>
      </c>
      <c r="AU122" t="str">
        <f t="shared" si="61"/>
        <v>Missing Lab Results</v>
      </c>
    </row>
    <row r="123" spans="1:47" ht="18" customHeight="1">
      <c r="A123" t="s">
        <v>746</v>
      </c>
      <c r="B123" t="str">
        <f t="shared" si="47"/>
        <v>P-0122</v>
      </c>
      <c r="C123" t="s">
        <v>735</v>
      </c>
      <c r="D123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John</v>
      </c>
      <c r="E123" t="s">
        <v>57</v>
      </c>
      <c r="F123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Ali</v>
      </c>
      <c r="H123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123" t="s">
        <v>234</v>
      </c>
      <c r="J123" t="str">
        <f t="shared" si="48"/>
        <v>Male</v>
      </c>
      <c r="L123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23" t="s">
        <v>61</v>
      </c>
      <c r="N123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Invalid Phone</v>
      </c>
      <c r="O123" t="s">
        <v>747</v>
      </c>
      <c r="P123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john.ali@email.com</v>
      </c>
      <c r="Q123" t="s">
        <v>63</v>
      </c>
      <c r="R123" t="str">
        <f t="shared" si="49"/>
        <v>Tamale</v>
      </c>
      <c r="S123" t="s">
        <v>748</v>
      </c>
      <c r="T123" s="8">
        <f>IF(S123="","",IF(ISNUMBER(S123),S123,IF(AND(LEN(S123)=10,MID(S123,5,1)="-"),IFERROR(DATE(VALUE(LEFT(S123,4)),VALUE(MID(S123,6,2)),VALUE(RIGHT(S123,2))),"Invalid Date"),IF(AND(LEN(S123)=10,MID(S123,3,1)="/"),IFERROR(DATE(VALUE(RIGHT(S123,4)),VALUE(MID(S123,4,2)),VALUE(LEFT(S123,2))),"Invalid Date"),IF(AND(LEN(S123)=10,MID(S123,5,1)="/"),"Invalid Date",IFERROR(DATE(VALUE(RIGHT(S123,4)),MATCH(LEFT(S123,3),{"Jan","Feb","Mar","Apr","May","Jun","Jul","Aug","Sep","Oct","Nov","Dec"},0),VALUE(MID(S123,5,FIND(",",S123)-5))),"Invalid Date"))))))</f>
        <v>46129</v>
      </c>
      <c r="U123" t="s">
        <v>111</v>
      </c>
      <c r="V123" t="str">
        <f t="shared" si="50"/>
        <v>Follow-up</v>
      </c>
      <c r="X123" t="str">
        <f t="shared" si="51"/>
        <v/>
      </c>
      <c r="Y123" t="s">
        <v>179</v>
      </c>
      <c r="Z123" t="str">
        <f t="shared" si="52"/>
        <v/>
      </c>
      <c r="AA123" t="str">
        <f t="shared" si="53"/>
        <v>Missing</v>
      </c>
      <c r="AC123" s="6" t="str">
        <f t="shared" si="38"/>
        <v/>
      </c>
      <c r="AD123" s="6" t="str">
        <f t="shared" si="54"/>
        <v>Missing</v>
      </c>
      <c r="AE123" t="s">
        <v>749</v>
      </c>
      <c r="AF123">
        <f t="shared" si="55"/>
        <v>115.8</v>
      </c>
      <c r="AG123" t="str">
        <f t="shared" si="56"/>
        <v>Valid</v>
      </c>
      <c r="AH123" t="s">
        <v>176</v>
      </c>
      <c r="AI123" t="str">
        <f t="shared" si="57"/>
        <v/>
      </c>
      <c r="AJ123" s="5" t="s">
        <v>750</v>
      </c>
      <c r="AK123">
        <f>IF(TRIM(AJ123)="","",IF(LOWER(TRIM(AJ123))="one hundred",100,IFERROR(IF(VALUE(SUBSTITUTE(UPPER(TRIM(AJ123)),"GHS",""))&lt;0,"",VALUE(SUBSTITUTE(UPPER(TRIM(AJ123)),"GHS",""))),"")))</f>
        <v>557.44000000000005</v>
      </c>
      <c r="AL123" t="s">
        <v>37</v>
      </c>
      <c r="AM123">
        <f t="shared" si="58"/>
        <v>100</v>
      </c>
      <c r="AN123" t="s">
        <v>117</v>
      </c>
      <c r="AO123" t="str">
        <f t="shared" si="59"/>
        <v>Refunded</v>
      </c>
      <c r="AP123">
        <f>IF(OR(MessyClinicPatients[[#This Row],[Clean Total Bill]]="",MessyClinicPatients[[#This Row],[Clean Amount Paid]]=""),"",MessyClinicPatients[[#This Row],[Clean Total Bill]]-MessyClinicPatients[[#This Row],[Clean Amount Paid]])</f>
        <v>457.44000000000005</v>
      </c>
      <c r="AQ123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123" t="s">
        <v>96</v>
      </c>
      <c r="AS123" t="str">
        <f t="shared" si="60"/>
        <v>Nurse Amina</v>
      </c>
      <c r="AT123" t="s">
        <v>97</v>
      </c>
      <c r="AU123" t="str">
        <f t="shared" si="61"/>
        <v>Patient Came Late</v>
      </c>
    </row>
    <row r="124" spans="1:47" ht="18" customHeight="1">
      <c r="A124" t="s">
        <v>751</v>
      </c>
      <c r="B124" t="str">
        <f t="shared" si="47"/>
        <v>P-0123</v>
      </c>
      <c r="C124" t="s">
        <v>212</v>
      </c>
      <c r="D124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Victoria</v>
      </c>
      <c r="E124" t="s">
        <v>174</v>
      </c>
      <c r="F124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Addo</v>
      </c>
      <c r="H124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124" t="s">
        <v>74</v>
      </c>
      <c r="J124" t="str">
        <f t="shared" si="48"/>
        <v>Female</v>
      </c>
      <c r="L124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24" t="s">
        <v>752</v>
      </c>
      <c r="N124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5935285067</v>
      </c>
      <c r="P124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R124" t="str">
        <f t="shared" si="49"/>
        <v/>
      </c>
      <c r="T124" s="8" t="str">
        <f>IF(S124="","",IF(ISNUMBER(S124),S124,IF(AND(LEN(S124)=10,MID(S124,5,1)="-"),IFERROR(DATE(VALUE(LEFT(S124,4)),VALUE(MID(S124,6,2)),VALUE(RIGHT(S124,2))),"Invalid Date"),IF(AND(LEN(S124)=10,MID(S124,3,1)="/"),IFERROR(DATE(VALUE(RIGHT(S124,4)),VALUE(MID(S124,4,2)),VALUE(LEFT(S124,2))),"Invalid Date"),IF(AND(LEN(S124)=10,MID(S124,5,1)="/"),"Invalid Date",IFERROR(DATE(VALUE(RIGHT(S124,4)),MATCH(LEFT(S124,3),{"Jan","Feb","Mar","Apr","May","Jun","Jul","Aug","Sep","Oct","Nov","Dec"},0),VALUE(MID(S124,5,FIND(",",S124)-5))),"Invalid Date"))))))</f>
        <v/>
      </c>
      <c r="U124" t="s">
        <v>102</v>
      </c>
      <c r="V124" t="str">
        <f t="shared" si="50"/>
        <v>Consultation</v>
      </c>
      <c r="W124" t="s">
        <v>49</v>
      </c>
      <c r="X124" t="str">
        <f t="shared" si="51"/>
        <v>None</v>
      </c>
      <c r="Y124" t="s">
        <v>704</v>
      </c>
      <c r="Z124" t="str">
        <f t="shared" si="52"/>
        <v/>
      </c>
      <c r="AA124" t="str">
        <f t="shared" si="53"/>
        <v>Missing</v>
      </c>
      <c r="AC124" s="6" t="str">
        <f t="shared" si="38"/>
        <v/>
      </c>
      <c r="AD124" s="6" t="str">
        <f t="shared" si="54"/>
        <v>Missing</v>
      </c>
      <c r="AE124" t="s">
        <v>204</v>
      </c>
      <c r="AF124" t="str">
        <f t="shared" si="55"/>
        <v/>
      </c>
      <c r="AG124" t="str">
        <f t="shared" si="56"/>
        <v>Missing</v>
      </c>
      <c r="AH124" t="s">
        <v>49</v>
      </c>
      <c r="AI124" t="str">
        <f t="shared" si="57"/>
        <v>None</v>
      </c>
      <c r="AJ124" s="5" t="s">
        <v>753</v>
      </c>
      <c r="AK124">
        <f>IF(TRIM(AJ124)="","",IF(LOWER(TRIM(AJ124))="one hundred",100,IFERROR(IF(VALUE(SUBSTITUTE(UPPER(TRIM(AJ124)),"GHS",""))&lt;0,"",VALUE(SUBSTITUTE(UPPER(TRIM(AJ124)),"GHS",""))),"")))</f>
        <v>486.78</v>
      </c>
      <c r="AL124" t="s">
        <v>37</v>
      </c>
      <c r="AM124">
        <f t="shared" si="58"/>
        <v>100</v>
      </c>
      <c r="AO124" t="str">
        <f t="shared" si="59"/>
        <v/>
      </c>
      <c r="AP124">
        <f>IF(OR(MessyClinicPatients[[#This Row],[Clean Total Bill]]="",MessyClinicPatients[[#This Row],[Clean Amount Paid]]=""),"",MessyClinicPatients[[#This Row],[Clean Total Bill]]-MessyClinicPatients[[#This Row],[Clean Amount Paid]])</f>
        <v>386.78</v>
      </c>
      <c r="AQ124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124" t="s">
        <v>96</v>
      </c>
      <c r="AS124" t="str">
        <f t="shared" si="60"/>
        <v>Nurse Amina</v>
      </c>
      <c r="AT124" t="s">
        <v>159</v>
      </c>
      <c r="AU124" t="str">
        <f t="shared" si="61"/>
        <v>Missing Lab Results</v>
      </c>
    </row>
    <row r="125" spans="1:47" ht="18" customHeight="1">
      <c r="A125" t="s">
        <v>754</v>
      </c>
      <c r="B125" t="str">
        <f t="shared" si="47"/>
        <v>P-0124</v>
      </c>
      <c r="C125" t="s">
        <v>85</v>
      </c>
      <c r="D125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Ruth</v>
      </c>
      <c r="E125" t="s">
        <v>120</v>
      </c>
      <c r="F125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Taylor</v>
      </c>
      <c r="G125" t="s">
        <v>24</v>
      </c>
      <c r="H125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125" t="s">
        <v>234</v>
      </c>
      <c r="J125" t="str">
        <f t="shared" si="48"/>
        <v>Male</v>
      </c>
      <c r="L125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25" t="s">
        <v>61</v>
      </c>
      <c r="N125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Invalid Phone</v>
      </c>
      <c r="O125" t="s">
        <v>755</v>
      </c>
      <c r="P125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ruth_taylor@clinicmail.org</v>
      </c>
      <c r="Q125" t="s">
        <v>227</v>
      </c>
      <c r="R125" t="str">
        <f t="shared" si="49"/>
        <v>accra</v>
      </c>
      <c r="T125" s="8" t="str">
        <f>IF(S125="","",IF(ISNUMBER(S125),S125,IF(AND(LEN(S125)=10,MID(S125,5,1)="-"),IFERROR(DATE(VALUE(LEFT(S125,4)),VALUE(MID(S125,6,2)),VALUE(RIGHT(S125,2))),"Invalid Date"),IF(AND(LEN(S125)=10,MID(S125,3,1)="/"),IFERROR(DATE(VALUE(RIGHT(S125,4)),VALUE(MID(S125,4,2)),VALUE(LEFT(S125,2))),"Invalid Date"),IF(AND(LEN(S125)=10,MID(S125,5,1)="/"),"Invalid Date",IFERROR(DATE(VALUE(RIGHT(S125,4)),MATCH(LEFT(S125,3),{"Jan","Feb","Mar","Apr","May","Jun","Jul","Aug","Sep","Oct","Nov","Dec"},0),VALUE(MID(S125,5,FIND(",",S125)-5))),"Invalid Date"))))))</f>
        <v/>
      </c>
      <c r="U125" t="s">
        <v>30</v>
      </c>
      <c r="V125" t="str">
        <f t="shared" si="50"/>
        <v>Vaccination</v>
      </c>
      <c r="W125" t="s">
        <v>412</v>
      </c>
      <c r="X125" t="str">
        <f t="shared" si="51"/>
        <v>Asthma</v>
      </c>
      <c r="Y125" t="s">
        <v>756</v>
      </c>
      <c r="Z125" t="str">
        <f t="shared" si="52"/>
        <v>143/69</v>
      </c>
      <c r="AA125" t="str">
        <f t="shared" si="53"/>
        <v>Valid</v>
      </c>
      <c r="AC125" s="6" t="str">
        <f t="shared" si="38"/>
        <v/>
      </c>
      <c r="AD125" s="6" t="str">
        <f t="shared" si="54"/>
        <v>Missing</v>
      </c>
      <c r="AE125" t="s">
        <v>80</v>
      </c>
      <c r="AF125">
        <f t="shared" si="55"/>
        <v>80</v>
      </c>
      <c r="AG125" t="str">
        <f t="shared" si="56"/>
        <v>Valid</v>
      </c>
      <c r="AH125" t="s">
        <v>81</v>
      </c>
      <c r="AI125" t="str">
        <f t="shared" si="57"/>
        <v>NHIS</v>
      </c>
      <c r="AJ125" s="5" t="s">
        <v>757</v>
      </c>
      <c r="AK125">
        <f>IF(TRIM(AJ125)="","",IF(LOWER(TRIM(AJ125))="one hundred",100,IFERROR(IF(VALUE(SUBSTITUTE(UPPER(TRIM(AJ125)),"GHS",""))&lt;0,"",VALUE(SUBSTITUTE(UPPER(TRIM(AJ125)),"GHS",""))),"")))</f>
        <v>488.82</v>
      </c>
      <c r="AL125" t="s">
        <v>757</v>
      </c>
      <c r="AM125">
        <f t="shared" si="58"/>
        <v>488.82</v>
      </c>
      <c r="AN125" t="s">
        <v>68</v>
      </c>
      <c r="AO125" t="str">
        <f t="shared" si="59"/>
        <v>Paid</v>
      </c>
      <c r="AP125">
        <f>IF(OR(MessyClinicPatients[[#This Row],[Clean Total Bill]]="",MessyClinicPatients[[#This Row],[Clean Amount Paid]]=""),"",MessyClinicPatients[[#This Row],[Clean Total Bill]]-MessyClinicPatients[[#This Row],[Clean Amount Paid]])</f>
        <v>0</v>
      </c>
      <c r="AQ125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125" t="s">
        <v>39</v>
      </c>
      <c r="AS125" t="str">
        <f t="shared" si="60"/>
        <v>Dr. Okoro</v>
      </c>
      <c r="AT125" t="s">
        <v>40</v>
      </c>
      <c r="AU125" t="str">
        <f t="shared" si="61"/>
        <v>Needs Follow-Up</v>
      </c>
    </row>
    <row r="126" spans="1:47" ht="18" customHeight="1">
      <c r="B126" t="str">
        <f t="shared" si="47"/>
        <v/>
      </c>
      <c r="C126" t="s">
        <v>661</v>
      </c>
      <c r="D126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Kofi</v>
      </c>
      <c r="E126" t="s">
        <v>100</v>
      </c>
      <c r="F126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Diallo</v>
      </c>
      <c r="H126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126" t="s">
        <v>183</v>
      </c>
      <c r="J126" t="str">
        <f t="shared" si="48"/>
        <v>Male</v>
      </c>
      <c r="L126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26" t="s">
        <v>176</v>
      </c>
      <c r="N126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126" t="s">
        <v>27</v>
      </c>
      <c r="P126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126" t="s">
        <v>222</v>
      </c>
      <c r="R126" t="str">
        <f t="shared" si="49"/>
        <v>Abuja</v>
      </c>
      <c r="S126" t="s">
        <v>92</v>
      </c>
      <c r="T126" s="8" t="str">
        <f>IF(S126="","",IF(ISNUMBER(S126),S126,IF(AND(LEN(S126)=10,MID(S126,5,1)="-"),IFERROR(DATE(VALUE(LEFT(S126,4)),VALUE(MID(S126,6,2)),VALUE(RIGHT(S126,2))),"Invalid Date"),IF(AND(LEN(S126)=10,MID(S126,3,1)="/"),IFERROR(DATE(VALUE(RIGHT(S126,4)),VALUE(MID(S126,4,2)),VALUE(LEFT(S126,2))),"Invalid Date"),IF(AND(LEN(S126)=10,MID(S126,5,1)="/"),"Invalid Date",IFERROR(DATE(VALUE(RIGHT(S126,4)),MATCH(LEFT(S126,3),{"Jan","Feb","Mar","Apr","May","Jun","Jul","Aug","Sep","Oct","Nov","Dec"},0),VALUE(MID(S126,5,FIND(",",S126)-5))),"Invalid Date"))))))</f>
        <v>Invalid Date</v>
      </c>
      <c r="U126" t="s">
        <v>296</v>
      </c>
      <c r="V126" t="str">
        <f t="shared" si="50"/>
        <v>Lab Test</v>
      </c>
      <c r="W126" t="s">
        <v>229</v>
      </c>
      <c r="X126" t="str">
        <f t="shared" si="51"/>
        <v>Flu</v>
      </c>
      <c r="Y126" t="s">
        <v>179</v>
      </c>
      <c r="Z126" t="str">
        <f t="shared" si="52"/>
        <v/>
      </c>
      <c r="AA126" t="str">
        <f t="shared" si="53"/>
        <v>Missing</v>
      </c>
      <c r="AB126" t="s">
        <v>33</v>
      </c>
      <c r="AC126" s="6" t="str">
        <f t="shared" si="38"/>
        <v/>
      </c>
      <c r="AD126" s="6" t="str">
        <f t="shared" si="54"/>
        <v>Missing</v>
      </c>
      <c r="AE126" t="s">
        <v>204</v>
      </c>
      <c r="AF126" t="str">
        <f t="shared" si="55"/>
        <v/>
      </c>
      <c r="AG126" t="str">
        <f t="shared" si="56"/>
        <v>Missing</v>
      </c>
      <c r="AH126" t="s">
        <v>176</v>
      </c>
      <c r="AI126" t="str">
        <f t="shared" si="57"/>
        <v/>
      </c>
      <c r="AJ126" s="5" t="s">
        <v>758</v>
      </c>
      <c r="AK126">
        <f>IF(TRIM(AJ126)="","",IF(LOWER(TRIM(AJ126))="one hundred",100,IFERROR(IF(VALUE(SUBSTITUTE(UPPER(TRIM(AJ126)),"GHS",""))&lt;0,"",VALUE(SUBSTITUTE(UPPER(TRIM(AJ126)),"GHS",""))),"")))</f>
        <v>51.21</v>
      </c>
      <c r="AL126" t="s">
        <v>759</v>
      </c>
      <c r="AM126">
        <f t="shared" si="58"/>
        <v>38.08</v>
      </c>
      <c r="AO126" t="str">
        <f t="shared" si="59"/>
        <v/>
      </c>
      <c r="AP126">
        <f>IF(OR(MessyClinicPatients[[#This Row],[Clean Total Bill]]="",MessyClinicPatients[[#This Row],[Clean Amount Paid]]=""),"",MessyClinicPatients[[#This Row],[Clean Total Bill]]-MessyClinicPatients[[#This Row],[Clean Amount Paid]])</f>
        <v>13.130000000000003</v>
      </c>
      <c r="AQ126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126" t="s">
        <v>39</v>
      </c>
      <c r="AS126" t="str">
        <f t="shared" si="60"/>
        <v>Dr. Okoro</v>
      </c>
      <c r="AT126" t="s">
        <v>159</v>
      </c>
      <c r="AU126" t="str">
        <f t="shared" si="61"/>
        <v>Missing Lab Results</v>
      </c>
    </row>
    <row r="127" spans="1:47" ht="18" customHeight="1">
      <c r="A127" t="s">
        <v>760</v>
      </c>
      <c r="B127" t="str">
        <f t="shared" si="47"/>
        <v>P-0126</v>
      </c>
      <c r="C127" t="s">
        <v>173</v>
      </c>
      <c r="D127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Chinedu</v>
      </c>
      <c r="E127" t="s">
        <v>475</v>
      </c>
      <c r="F127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Ndlovu</v>
      </c>
      <c r="G127" s="9">
        <v>66</v>
      </c>
      <c r="H127" t="str">
        <f>IF(OR(MessyClinicPatients[[#This Row],[Age]]="",MessyClinicPatients[[#This Row],[Age]]="unknown"),"Missing",IF(OR(MessyClinicPatients[[#This Row],[Age]]&lt;0,MessyClinicPatients[[#This Row],[Age]]&gt;120),"Invalid Age","Valid"))</f>
        <v>Valid</v>
      </c>
      <c r="I127" t="s">
        <v>88</v>
      </c>
      <c r="J127" t="str">
        <f t="shared" si="48"/>
        <v>Female</v>
      </c>
      <c r="K127" t="s">
        <v>761</v>
      </c>
      <c r="L127" s="8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21688</v>
      </c>
      <c r="M127" t="s">
        <v>762</v>
      </c>
      <c r="N127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+233242645178</v>
      </c>
      <c r="P127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127" t="s">
        <v>63</v>
      </c>
      <c r="R127" t="str">
        <f t="shared" si="49"/>
        <v>Tamale</v>
      </c>
      <c r="S127" t="s">
        <v>548</v>
      </c>
      <c r="T127" s="8">
        <f>IF(S127="","",IF(ISNUMBER(S127),S127,IF(AND(LEN(S127)=10,MID(S127,5,1)="-"),IFERROR(DATE(VALUE(LEFT(S127,4)),VALUE(MID(S127,6,2)),VALUE(RIGHT(S127,2))),"Invalid Date"),IF(AND(LEN(S127)=10,MID(S127,3,1)="/"),IFERROR(DATE(VALUE(RIGHT(S127,4)),VALUE(MID(S127,4,2)),VALUE(LEFT(S127,2))),"Invalid Date"),IF(AND(LEN(S127)=10,MID(S127,5,1)="/"),"Invalid Date",IFERROR(DATE(VALUE(RIGHT(S127,4)),MATCH(LEFT(S127,3),{"Jan","Feb","Mar","Apr","May","Jun","Jul","Aug","Sep","Oct","Nov","Dec"},0),VALUE(MID(S127,5,FIND(",",S127)-5))),"Invalid Date"))))))</f>
        <v>46175</v>
      </c>
      <c r="U127" t="s">
        <v>77</v>
      </c>
      <c r="V127" t="str">
        <f t="shared" si="50"/>
        <v>Emergency</v>
      </c>
      <c r="W127" t="s">
        <v>167</v>
      </c>
      <c r="X127" t="str">
        <f t="shared" si="51"/>
        <v>Pregnancy</v>
      </c>
      <c r="Y127" t="s">
        <v>763</v>
      </c>
      <c r="Z127" t="str">
        <f t="shared" si="52"/>
        <v/>
      </c>
      <c r="AA127" t="str">
        <f t="shared" si="53"/>
        <v>Missing</v>
      </c>
      <c r="AB127" t="s">
        <v>33</v>
      </c>
      <c r="AC127" s="6" t="str">
        <f t="shared" si="38"/>
        <v/>
      </c>
      <c r="AD127" s="6" t="str">
        <f t="shared" si="54"/>
        <v>Missing</v>
      </c>
      <c r="AF127" t="str">
        <f t="shared" si="55"/>
        <v/>
      </c>
      <c r="AG127" t="str">
        <f t="shared" si="56"/>
        <v>Missing</v>
      </c>
      <c r="AI127" t="str">
        <f t="shared" si="57"/>
        <v/>
      </c>
      <c r="AJ127" s="5" t="s">
        <v>764</v>
      </c>
      <c r="AK127">
        <f>IF(TRIM(AJ127)="","",IF(LOWER(TRIM(AJ127))="one hundred",100,IFERROR(IF(VALUE(SUBSTITUTE(UPPER(TRIM(AJ127)),"GHS",""))&lt;0,"",VALUE(SUBSTITUTE(UPPER(TRIM(AJ127)),"GHS",""))),"")))</f>
        <v>468.72</v>
      </c>
      <c r="AL127" t="s">
        <v>116</v>
      </c>
      <c r="AM127" t="str">
        <f t="shared" si="58"/>
        <v/>
      </c>
      <c r="AN127" t="s">
        <v>137</v>
      </c>
      <c r="AO127" t="str">
        <f t="shared" si="59"/>
        <v>Unpaid</v>
      </c>
      <c r="AP127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127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R127" t="s">
        <v>54</v>
      </c>
      <c r="AS127" t="str">
        <f t="shared" si="60"/>
        <v>Dr. Lee</v>
      </c>
      <c r="AT127" t="s">
        <v>97</v>
      </c>
      <c r="AU127" t="str">
        <f t="shared" si="61"/>
        <v>Patient Came Late</v>
      </c>
    </row>
    <row r="128" spans="1:47" ht="18" customHeight="1">
      <c r="A128" t="s">
        <v>765</v>
      </c>
      <c r="B128" t="str">
        <f t="shared" si="47"/>
        <v>P-0127</v>
      </c>
      <c r="C128" t="s">
        <v>56</v>
      </c>
      <c r="D128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Ibrahim</v>
      </c>
      <c r="E128" t="s">
        <v>260</v>
      </c>
      <c r="F128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Acheampong</v>
      </c>
      <c r="G128" t="s">
        <v>24</v>
      </c>
      <c r="H128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128" t="s">
        <v>74</v>
      </c>
      <c r="J128" t="str">
        <f t="shared" si="48"/>
        <v>Female</v>
      </c>
      <c r="L128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28" t="s">
        <v>766</v>
      </c>
      <c r="N128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+233243239691</v>
      </c>
      <c r="P128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128" t="s">
        <v>101</v>
      </c>
      <c r="R128" t="str">
        <f t="shared" si="49"/>
        <v>Accra</v>
      </c>
      <c r="S128" t="s">
        <v>767</v>
      </c>
      <c r="T128" s="8">
        <f>IF(S128="","",IF(ISNUMBER(S128),S128,IF(AND(LEN(S128)=10,MID(S128,5,1)="-"),IFERROR(DATE(VALUE(LEFT(S128,4)),VALUE(MID(S128,6,2)),VALUE(RIGHT(S128,2))),"Invalid Date"),IF(AND(LEN(S128)=10,MID(S128,3,1)="/"),IFERROR(DATE(VALUE(RIGHT(S128,4)),VALUE(MID(S128,4,2)),VALUE(LEFT(S128,2))),"Invalid Date"),IF(AND(LEN(S128)=10,MID(S128,5,1)="/"),"Invalid Date",IFERROR(DATE(VALUE(RIGHT(S128,4)),MATCH(LEFT(S128,3),{"Jan","Feb","Mar","Apr","May","Jun","Jul","Aug","Sep","Oct","Nov","Dec"},0),VALUE(MID(S128,5,FIND(",",S128)-5))),"Invalid Date"))))))</f>
        <v>46137</v>
      </c>
      <c r="V128" t="str">
        <f t="shared" si="50"/>
        <v/>
      </c>
      <c r="X128" t="str">
        <f t="shared" si="51"/>
        <v/>
      </c>
      <c r="Z128" t="str">
        <f t="shared" si="52"/>
        <v/>
      </c>
      <c r="AA128" t="str">
        <f t="shared" si="53"/>
        <v>Missing</v>
      </c>
      <c r="AB128" t="s">
        <v>768</v>
      </c>
      <c r="AC128" s="6">
        <f t="shared" si="38"/>
        <v>37.200000000000003</v>
      </c>
      <c r="AD128" s="6" t="str">
        <f t="shared" si="54"/>
        <v>Valid</v>
      </c>
      <c r="AE128" t="s">
        <v>204</v>
      </c>
      <c r="AF128" t="str">
        <f t="shared" si="55"/>
        <v/>
      </c>
      <c r="AG128" t="str">
        <f t="shared" si="56"/>
        <v>Missing</v>
      </c>
      <c r="AH128" t="s">
        <v>51</v>
      </c>
      <c r="AI128" t="str">
        <f t="shared" si="57"/>
        <v>Private</v>
      </c>
      <c r="AJ128" s="5" t="s">
        <v>769</v>
      </c>
      <c r="AK128">
        <f>IF(TRIM(AJ128)="","",IF(LOWER(TRIM(AJ128))="one hundred",100,IFERROR(IF(VALUE(SUBSTITUTE(UPPER(TRIM(AJ128)),"GHS",""))&lt;0,"",VALUE(SUBSTITUTE(UPPER(TRIM(AJ128)),"GHS",""))),"")))</f>
        <v>544.61</v>
      </c>
      <c r="AL128" t="s">
        <v>37</v>
      </c>
      <c r="AM128">
        <f t="shared" si="58"/>
        <v>100</v>
      </c>
      <c r="AN128" t="s">
        <v>95</v>
      </c>
      <c r="AO128" t="str">
        <f t="shared" si="59"/>
        <v>Pending</v>
      </c>
      <c r="AP128">
        <f>IF(OR(MessyClinicPatients[[#This Row],[Clean Total Bill]]="",MessyClinicPatients[[#This Row],[Clean Amount Paid]]=""),"",MessyClinicPatients[[#This Row],[Clean Total Bill]]-MessyClinicPatients[[#This Row],[Clean Amount Paid]])</f>
        <v>444.61</v>
      </c>
      <c r="AQ128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128" t="s">
        <v>211</v>
      </c>
      <c r="AS128" t="str">
        <f t="shared" si="60"/>
        <v>Nurse Ama</v>
      </c>
      <c r="AT128" t="s">
        <v>159</v>
      </c>
      <c r="AU128" t="str">
        <f t="shared" si="61"/>
        <v>Missing Lab Results</v>
      </c>
    </row>
    <row r="129" spans="1:47" ht="18" customHeight="1">
      <c r="A129" t="s">
        <v>770</v>
      </c>
      <c r="B129" t="str">
        <f t="shared" si="47"/>
        <v>P-0128</v>
      </c>
      <c r="C129" t="s">
        <v>424</v>
      </c>
      <c r="D129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Esther</v>
      </c>
      <c r="E129" t="s">
        <v>440</v>
      </c>
      <c r="F129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Okafor</v>
      </c>
      <c r="H129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129" t="s">
        <v>88</v>
      </c>
      <c r="J129" t="str">
        <f t="shared" si="48"/>
        <v>Female</v>
      </c>
      <c r="L129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N129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129" t="s">
        <v>771</v>
      </c>
      <c r="P129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esther.okafor@email.com</v>
      </c>
      <c r="Q129" t="s">
        <v>91</v>
      </c>
      <c r="R129" t="str">
        <f t="shared" si="49"/>
        <v>Lagos</v>
      </c>
      <c r="S129" t="s">
        <v>772</v>
      </c>
      <c r="T129" s="8">
        <f>IF(S129="","",IF(ISNUMBER(S129),S129,IF(AND(LEN(S129)=10,MID(S129,5,1)="-"),IFERROR(DATE(VALUE(LEFT(S129,4)),VALUE(MID(S129,6,2)),VALUE(RIGHT(S129,2))),"Invalid Date"),IF(AND(LEN(S129)=10,MID(S129,3,1)="/"),IFERROR(DATE(VALUE(RIGHT(S129,4)),VALUE(MID(S129,4,2)),VALUE(LEFT(S129,2))),"Invalid Date"),IF(AND(LEN(S129)=10,MID(S129,5,1)="/"),"Invalid Date",IFERROR(DATE(VALUE(RIGHT(S129,4)),MATCH(LEFT(S129,3),{"Jan","Feb","Mar","Apr","May","Jun","Jul","Aug","Sep","Oct","Nov","Dec"},0),VALUE(MID(S129,5,FIND(",",S129)-5))),"Invalid Date"))))))</f>
        <v>46076</v>
      </c>
      <c r="U129" t="s">
        <v>144</v>
      </c>
      <c r="V129" t="str">
        <f t="shared" si="50"/>
        <v>Consultation</v>
      </c>
      <c r="W129" t="s">
        <v>31</v>
      </c>
      <c r="X129" t="str">
        <f t="shared" si="51"/>
        <v>Malaria</v>
      </c>
      <c r="Y129" t="s">
        <v>179</v>
      </c>
      <c r="Z129" t="str">
        <f t="shared" si="52"/>
        <v/>
      </c>
      <c r="AA129" t="str">
        <f t="shared" si="53"/>
        <v>Missing</v>
      </c>
      <c r="AC129" s="6" t="str">
        <f t="shared" si="38"/>
        <v/>
      </c>
      <c r="AD129" s="6" t="str">
        <f t="shared" si="54"/>
        <v>Missing</v>
      </c>
      <c r="AE129" t="s">
        <v>80</v>
      </c>
      <c r="AF129">
        <f t="shared" si="55"/>
        <v>80</v>
      </c>
      <c r="AG129" t="str">
        <f t="shared" si="56"/>
        <v>Valid</v>
      </c>
      <c r="AH129" t="s">
        <v>114</v>
      </c>
      <c r="AI129" t="str">
        <f t="shared" si="57"/>
        <v>NHIS</v>
      </c>
      <c r="AJ129" s="5" t="s">
        <v>773</v>
      </c>
      <c r="AK129">
        <f>IF(TRIM(AJ129)="","",IF(LOWER(TRIM(AJ129))="one hundred",100,IFERROR(IF(VALUE(SUBSTITUTE(UPPER(TRIM(AJ129)),"GHS",""))&lt;0,"",VALUE(SUBSTITUTE(UPPER(TRIM(AJ129)),"GHS",""))),"")))</f>
        <v>521.66999999999996</v>
      </c>
      <c r="AL129" t="s">
        <v>773</v>
      </c>
      <c r="AM129">
        <f t="shared" si="58"/>
        <v>521.66999999999996</v>
      </c>
      <c r="AN129" t="s">
        <v>95</v>
      </c>
      <c r="AO129" t="str">
        <f t="shared" si="59"/>
        <v>Pending</v>
      </c>
      <c r="AP129">
        <f>IF(OR(MessyClinicPatients[[#This Row],[Clean Total Bill]]="",MessyClinicPatients[[#This Row],[Clean Amount Paid]]=""),"",MessyClinicPatients[[#This Row],[Clean Total Bill]]-MessyClinicPatients[[#This Row],[Clean Amount Paid]])</f>
        <v>0</v>
      </c>
      <c r="AQ129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129" t="s">
        <v>54</v>
      </c>
      <c r="AS129" t="str">
        <f t="shared" si="60"/>
        <v>Dr. Lee</v>
      </c>
      <c r="AU129" t="str">
        <f t="shared" si="61"/>
        <v/>
      </c>
    </row>
    <row r="130" spans="1:47" ht="18" customHeight="1">
      <c r="A130" t="s">
        <v>774</v>
      </c>
      <c r="B130" t="str">
        <f t="shared" ref="B130:B151" si="62">IF(TRIM(A130)="","",IFERROR("P-"&amp;TEXT(VALUE(SUBSTITUTE(SUBSTITUTE(SUBSTITUTE(UPPER(TRIM(A130)),"PAT",""),"P-",""),"P","")),"0000"),""))</f>
        <v>P-1129</v>
      </c>
      <c r="C130" t="s">
        <v>161</v>
      </c>
      <c r="D130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Emeka</v>
      </c>
      <c r="E130" t="s">
        <v>57</v>
      </c>
      <c r="F130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Ali</v>
      </c>
      <c r="G130" s="9">
        <v>-3</v>
      </c>
      <c r="H130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130" t="s">
        <v>25</v>
      </c>
      <c r="J130" t="str">
        <f t="shared" ref="J130:J151" si="63">IF(OR(LOWER(TRIM(I130))="f",LOWER(TRIM(I130))="femal",LOWER(TRIM(I130))="female"),"Female",IF(OR(LOWER(TRIM(I130))="m",LOWER(TRIM(I130))="mal",LOWER(TRIM(I130))="male"),"Male",IF(LOWER(TRIM(I130))="other","Other","")))</f>
        <v>Other</v>
      </c>
      <c r="L130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30" t="s">
        <v>61</v>
      </c>
      <c r="N130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Invalid Phone</v>
      </c>
      <c r="O130" t="s">
        <v>775</v>
      </c>
      <c r="P130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emeka_ali@clinicmail.org</v>
      </c>
      <c r="Q130" t="s">
        <v>76</v>
      </c>
      <c r="R130" t="str">
        <f t="shared" ref="R130:R151" si="64">IF(TRIM(Q130)="","",TRIM(Q130))</f>
        <v>Cape Coast</v>
      </c>
      <c r="S130" t="s">
        <v>92</v>
      </c>
      <c r="T130" s="8" t="str">
        <f>IF(S130="","",IF(ISNUMBER(S130),S130,IF(AND(LEN(S130)=10,MID(S130,5,1)="-"),IFERROR(DATE(VALUE(LEFT(S130,4)),VALUE(MID(S130,6,2)),VALUE(RIGHT(S130,2))),"Invalid Date"),IF(AND(LEN(S130)=10,MID(S130,3,1)="/"),IFERROR(DATE(VALUE(RIGHT(S130,4)),VALUE(MID(S130,4,2)),VALUE(LEFT(S130,2))),"Invalid Date"),IF(AND(LEN(S130)=10,MID(S130,5,1)="/"),"Invalid Date",IFERROR(DATE(VALUE(RIGHT(S130,4)),MATCH(LEFT(S130,3),{"Jan","Feb","Mar","Apr","May","Jun","Jul","Aug","Sep","Oct","Nov","Dec"},0),VALUE(MID(S130,5,FIND(",",S130)-5))),"Invalid Date"))))))</f>
        <v>Invalid Date</v>
      </c>
      <c r="U130" t="s">
        <v>144</v>
      </c>
      <c r="V130" t="str">
        <f t="shared" ref="V130:V151" si="65">IF(TRIM(U130)="","",IF(OR(LOWER(TRIM(U130))="consult",LOWER(TRIM(U130))="consultation"),"Consultation",IF(OR(LOWER(TRIM(U130))="follow up",LOWER(TRIM(U130))="follow-up"),"Follow-up",PROPER(TRIM(U130)))))</f>
        <v>Consultation</v>
      </c>
      <c r="W130" t="s">
        <v>78</v>
      </c>
      <c r="X130" t="str">
        <f t="shared" ref="X130:X151" si="66">IF(TRIM(W130)="","",IF(UPPER(TRIM(W130))="COVID-19","COVID-19",PROPER(TRIM(W130))))</f>
        <v>Back Pain</v>
      </c>
      <c r="Y130" t="s">
        <v>359</v>
      </c>
      <c r="Z130" t="str">
        <f t="shared" ref="Z130:Z151" si="67">IF(TRIM(Y130)="","",IF(LOWER(TRIM(Y130))="high","",IF(ISNUMBER(SEARCH("/",TRIM(Y130))),TRIM(Y130),IF(ISNUMBER(SEARCH("-",TRIM(Y130))),SUBSTITUTE(TRIM(Y130),"-","/"),""))))</f>
        <v/>
      </c>
      <c r="AA130" t="str">
        <f t="shared" ref="AA130:AA161" si="68">IF(Z130="","Missing",IFERROR(IF(AND(VALUE(LEFT(Z130,FIND("/",Z130)-1))&gt;=70,VALUE(LEFT(Z130,FIND("/",Z130)-1))&lt;=250,VALUE(MID(Z130,FIND("/",Z130)+1,99))&gt;=40,VALUE(MID(Z130,FIND("/",Z130)+1,99))&lt;=150),"Valid","Invalid Blood Pressure"),"Invalid Blood Pressure"))</f>
        <v>Missing</v>
      </c>
      <c r="AB130" t="s">
        <v>33</v>
      </c>
      <c r="AC130" s="6" t="str">
        <f t="shared" ref="AC130:AC151" si="69">IF(OR(AB130="",LOWER(TRIM(AB130&amp;""))="normal"),"",IFERROR(IF(VALUE(AB130)&gt;60,(VALUE(AB130)-32)*5/9,VALUE(AB130)),""))</f>
        <v/>
      </c>
      <c r="AD130" s="6" t="str">
        <f t="shared" ref="AD130:AD151" si="70">IF(AB130="","Missing",IF(LOWER(TRIM(AB130&amp;""))="normal","Missing",IFERROR(IF(VALUE(AB130)&gt;=90,"Fahrenheit Converted","Valid"),"Invalid Temperature")))</f>
        <v>Missing</v>
      </c>
      <c r="AE130" t="s">
        <v>80</v>
      </c>
      <c r="AF130">
        <f t="shared" ref="AF130:AF151" si="71">IF(TRIM(AE130)="","",IF(LOWER(TRIM(AE130))="eighty",80,IFERROR(IF(AND(VALUE(AE130)&gt;=30,VALUE(AE130)&lt;=250),VALUE(AE130),""),"")))</f>
        <v>80</v>
      </c>
      <c r="AG130" t="str">
        <f t="shared" ref="AG130:AG161" si="72">IF(AF130="","Missing",IF(AF130&lt;=0,"Invalid Weight",IF(AF130&gt;250,"Implausible Weight","Valid")))</f>
        <v>Valid</v>
      </c>
      <c r="AH130" t="s">
        <v>49</v>
      </c>
      <c r="AI130" t="str">
        <f t="shared" ref="AI130:AI151" si="73">IF(OR(TRIM(AH130)="",UPPER(TRIM(AH130))="N/A"),"",IF(UPPER(TRIM(AH130))="NHIS","NHIS",IF(UPPER(TRIM(AH130))="PRIVATE","Private",IF(UPPER(TRIM(AH130))="CORPORATE","Corporate",IF(LOWER(TRIM(AH130))="nhis","NHIS",IF(UPPER(TRIM(AH130))="NONE","None",""))))))</f>
        <v>None</v>
      </c>
      <c r="AJ130" s="5" t="s">
        <v>776</v>
      </c>
      <c r="AK130">
        <f>IF(TRIM(AJ130)="","",IF(LOWER(TRIM(AJ130))="one hundred",100,IFERROR(IF(VALUE(SUBSTITUTE(UPPER(TRIM(AJ130)),"GHS",""))&lt;0,"",VALUE(SUBSTITUTE(UPPER(TRIM(AJ130)),"GHS",""))),"")))</f>
        <v>56.68</v>
      </c>
      <c r="AL130" t="s">
        <v>776</v>
      </c>
      <c r="AM130">
        <f t="shared" ref="AM130:AM161" si="74">IF(TRIM(AL130)="","",IF(LOWER(TRIM(AL130))="one hundred",100,IFERROR(IF(VALUE(AL130)&lt;0,"",VALUE(AL130)),"")))</f>
        <v>56.68</v>
      </c>
      <c r="AN130" t="s">
        <v>137</v>
      </c>
      <c r="AO130" t="str">
        <f t="shared" ref="AO130:AO151" si="75">IF(TRIM(AN130)="","",PROPER(TRIM(AN130)))</f>
        <v>Unpaid</v>
      </c>
      <c r="AP130">
        <f>IF(OR(MessyClinicPatients[[#This Row],[Clean Total Bill]]="",MessyClinicPatients[[#This Row],[Clean Amount Paid]]=""),"",MessyClinicPatients[[#This Row],[Clean Total Bill]]-MessyClinicPatients[[#This Row],[Clean Amount Paid]])</f>
        <v>0</v>
      </c>
      <c r="AQ130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S130" t="str">
        <f t="shared" ref="AS130:AS161" si="76">IF(TRIM(AR130)="","",IF(ISNUMBER(SEARCH("NURSE",UPPER(TRIM(AR130)))),"Nurse "&amp;PROPER(TRIM(SUBSTITUTE(UPPER(TRIM(AR130)),"NURSE",""))),"Dr. "&amp;PROPER(TRIM(SUBSTITUTE(SUBSTITUTE(UPPER(TRIM(AR130)),"DR.",""),"DR","")))))</f>
        <v/>
      </c>
      <c r="AT130" t="s">
        <v>274</v>
      </c>
      <c r="AU130" t="str">
        <f t="shared" ref="AU130:AU151" si="77">IF(TRIM(AT130)="","",PROPER(TRIM(AT130)))</f>
        <v>Repeated Record?</v>
      </c>
    </row>
    <row r="131" spans="1:47" ht="18" customHeight="1">
      <c r="A131" t="s">
        <v>777</v>
      </c>
      <c r="B131" t="str">
        <f t="shared" si="62"/>
        <v>P-0130</v>
      </c>
      <c r="C131" t="s">
        <v>603</v>
      </c>
      <c r="D131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Tunde</v>
      </c>
      <c r="E131" t="s">
        <v>120</v>
      </c>
      <c r="F131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Taylor</v>
      </c>
      <c r="H131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131" t="s">
        <v>74</v>
      </c>
      <c r="J131" t="str">
        <f t="shared" si="63"/>
        <v>Female</v>
      </c>
      <c r="L131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31" t="s">
        <v>778</v>
      </c>
      <c r="N131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+233247937113</v>
      </c>
      <c r="O131" t="s">
        <v>779</v>
      </c>
      <c r="P131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tunde.taylor@email.com</v>
      </c>
      <c r="Q131" t="s">
        <v>222</v>
      </c>
      <c r="R131" t="str">
        <f t="shared" si="64"/>
        <v>Abuja</v>
      </c>
      <c r="S131" t="s">
        <v>92</v>
      </c>
      <c r="T131" s="8" t="str">
        <f>IF(S131="","",IF(ISNUMBER(S131),S131,IF(AND(LEN(S131)=10,MID(S131,5,1)="-"),IFERROR(DATE(VALUE(LEFT(S131,4)),VALUE(MID(S131,6,2)),VALUE(RIGHT(S131,2))),"Invalid Date"),IF(AND(LEN(S131)=10,MID(S131,3,1)="/"),IFERROR(DATE(VALUE(RIGHT(S131,4)),VALUE(MID(S131,4,2)),VALUE(LEFT(S131,2))),"Invalid Date"),IF(AND(LEN(S131)=10,MID(S131,5,1)="/"),"Invalid Date",IFERROR(DATE(VALUE(RIGHT(S131,4)),MATCH(LEFT(S131,3),{"Jan","Feb","Mar","Apr","May","Jun","Jul","Aug","Sep","Oct","Nov","Dec"},0),VALUE(MID(S131,5,FIND(",",S131)-5))),"Invalid Date"))))))</f>
        <v>Invalid Date</v>
      </c>
      <c r="U131" t="s">
        <v>134</v>
      </c>
      <c r="V131" t="str">
        <f t="shared" si="65"/>
        <v>Follow-up</v>
      </c>
      <c r="W131" t="s">
        <v>31</v>
      </c>
      <c r="X131" t="str">
        <f t="shared" si="66"/>
        <v>Malaria</v>
      </c>
      <c r="Z131" t="str">
        <f t="shared" si="67"/>
        <v/>
      </c>
      <c r="AA131" t="str">
        <f t="shared" si="68"/>
        <v>Missing</v>
      </c>
      <c r="AC131" s="6" t="str">
        <f t="shared" si="69"/>
        <v/>
      </c>
      <c r="AD131" s="6" t="str">
        <f t="shared" si="70"/>
        <v>Missing</v>
      </c>
      <c r="AF131" t="str">
        <f t="shared" si="71"/>
        <v/>
      </c>
      <c r="AG131" t="str">
        <f t="shared" si="72"/>
        <v>Missing</v>
      </c>
      <c r="AH131" t="s">
        <v>81</v>
      </c>
      <c r="AI131" t="str">
        <f t="shared" si="73"/>
        <v>NHIS</v>
      </c>
      <c r="AJ131" s="5" t="s">
        <v>780</v>
      </c>
      <c r="AK131">
        <f>IF(TRIM(AJ131)="","",IF(LOWER(TRIM(AJ131))="one hundred",100,IFERROR(IF(VALUE(SUBSTITUTE(UPPER(TRIM(AJ131)),"GHS",""))&lt;0,"",VALUE(SUBSTITUTE(UPPER(TRIM(AJ131)),"GHS",""))),"")))</f>
        <v>248.57</v>
      </c>
      <c r="AL131" t="s">
        <v>780</v>
      </c>
      <c r="AM131">
        <f t="shared" si="74"/>
        <v>248.57</v>
      </c>
      <c r="AN131" t="s">
        <v>95</v>
      </c>
      <c r="AO131" t="str">
        <f t="shared" si="75"/>
        <v>Pending</v>
      </c>
      <c r="AP131">
        <f>IF(OR(MessyClinicPatients[[#This Row],[Clean Total Bill]]="",MessyClinicPatients[[#This Row],[Clean Amount Paid]]=""),"",MessyClinicPatients[[#This Row],[Clean Total Bill]]-MessyClinicPatients[[#This Row],[Clean Amount Paid]])</f>
        <v>0</v>
      </c>
      <c r="AQ131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131" t="s">
        <v>211</v>
      </c>
      <c r="AS131" t="str">
        <f t="shared" si="76"/>
        <v>Nurse Ama</v>
      </c>
      <c r="AT131" t="s">
        <v>97</v>
      </c>
      <c r="AU131" t="str">
        <f t="shared" si="77"/>
        <v>Patient Came Late</v>
      </c>
    </row>
    <row r="132" spans="1:47" ht="18" customHeight="1">
      <c r="A132" t="s">
        <v>781</v>
      </c>
      <c r="B132" t="str">
        <f t="shared" si="62"/>
        <v>P-0131</v>
      </c>
      <c r="C132" t="s">
        <v>22</v>
      </c>
      <c r="D132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Abena</v>
      </c>
      <c r="E132" t="s">
        <v>120</v>
      </c>
      <c r="F132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Taylor</v>
      </c>
      <c r="G132" t="s">
        <v>24</v>
      </c>
      <c r="H132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132" t="s">
        <v>25</v>
      </c>
      <c r="J132" t="str">
        <f t="shared" si="63"/>
        <v>Other</v>
      </c>
      <c r="L132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32" t="s">
        <v>782</v>
      </c>
      <c r="N132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9436948982</v>
      </c>
      <c r="O132" t="s">
        <v>783</v>
      </c>
      <c r="P132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Q132" t="s">
        <v>110</v>
      </c>
      <c r="R132" t="str">
        <f t="shared" si="64"/>
        <v>Kumasi</v>
      </c>
      <c r="S132" t="s">
        <v>784</v>
      </c>
      <c r="T132" s="8">
        <f>IF(S132="","",IF(ISNUMBER(S132),S132,IF(AND(LEN(S132)=10,MID(S132,5,1)="-"),IFERROR(DATE(VALUE(LEFT(S132,4)),VALUE(MID(S132,6,2)),VALUE(RIGHT(S132,2))),"Invalid Date"),IF(AND(LEN(S132)=10,MID(S132,3,1)="/"),IFERROR(DATE(VALUE(RIGHT(S132,4)),VALUE(MID(S132,4,2)),VALUE(LEFT(S132,2))),"Invalid Date"),IF(AND(LEN(S132)=10,MID(S132,5,1)="/"),"Invalid Date",IFERROR(DATE(VALUE(RIGHT(S132,4)),MATCH(LEFT(S132,3),{"Jan","Feb","Mar","Apr","May","Jun","Jul","Aug","Sep","Oct","Nov","Dec"},0),VALUE(MID(S132,5,FIND(",",S132)-5))),"Invalid Date"))))))</f>
        <v>46083</v>
      </c>
      <c r="U132" t="s">
        <v>144</v>
      </c>
      <c r="V132" t="str">
        <f t="shared" si="65"/>
        <v>Consultation</v>
      </c>
      <c r="W132" t="s">
        <v>155</v>
      </c>
      <c r="X132" t="str">
        <f t="shared" si="66"/>
        <v>Migraine</v>
      </c>
      <c r="Z132" t="str">
        <f t="shared" si="67"/>
        <v/>
      </c>
      <c r="AA132" t="str">
        <f t="shared" si="68"/>
        <v>Missing</v>
      </c>
      <c r="AC132" s="6" t="str">
        <f t="shared" si="69"/>
        <v/>
      </c>
      <c r="AD132" s="6" t="str">
        <f t="shared" si="70"/>
        <v>Missing</v>
      </c>
      <c r="AE132" t="s">
        <v>80</v>
      </c>
      <c r="AF132">
        <f t="shared" si="71"/>
        <v>80</v>
      </c>
      <c r="AG132" t="str">
        <f t="shared" si="72"/>
        <v>Valid</v>
      </c>
      <c r="AH132" t="s">
        <v>35</v>
      </c>
      <c r="AI132" t="str">
        <f t="shared" si="73"/>
        <v>Corporate</v>
      </c>
      <c r="AJ132" s="5" t="s">
        <v>785</v>
      </c>
      <c r="AK132">
        <f>IF(TRIM(AJ132)="","",IF(LOWER(TRIM(AJ132))="one hundred",100,IFERROR(IF(VALUE(SUBSTITUTE(UPPER(TRIM(AJ132)),"GHS",""))&lt;0,"",VALUE(SUBSTITUTE(UPPER(TRIM(AJ132)),"GHS",""))),"")))</f>
        <v>185.38</v>
      </c>
      <c r="AL132" t="s">
        <v>786</v>
      </c>
      <c r="AM132">
        <f t="shared" si="74"/>
        <v>12.94</v>
      </c>
      <c r="AO132" t="str">
        <f t="shared" si="75"/>
        <v/>
      </c>
      <c r="AP132">
        <f>IF(OR(MessyClinicPatients[[#This Row],[Clean Total Bill]]="",MessyClinicPatients[[#This Row],[Clean Amount Paid]]=""),"",MessyClinicPatients[[#This Row],[Clean Total Bill]]-MessyClinicPatients[[#This Row],[Clean Amount Paid]])</f>
        <v>172.44</v>
      </c>
      <c r="AQ132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S132" t="str">
        <f t="shared" si="76"/>
        <v/>
      </c>
      <c r="AT132" t="s">
        <v>171</v>
      </c>
      <c r="AU132" t="str">
        <f t="shared" si="77"/>
        <v>Allergy: Penicillin</v>
      </c>
    </row>
    <row r="133" spans="1:47" ht="18" customHeight="1">
      <c r="A133" t="s">
        <v>787</v>
      </c>
      <c r="B133" t="str">
        <f t="shared" si="62"/>
        <v>P-1132</v>
      </c>
      <c r="C133" t="s">
        <v>241</v>
      </c>
      <c r="D133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Aisha</v>
      </c>
      <c r="E133" t="s">
        <v>313</v>
      </c>
      <c r="F133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Abiola</v>
      </c>
      <c r="G133" t="s">
        <v>24</v>
      </c>
      <c r="H133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133" t="s">
        <v>183</v>
      </c>
      <c r="J133" t="str">
        <f t="shared" si="63"/>
        <v>Male</v>
      </c>
      <c r="L133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N133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133" t="s">
        <v>788</v>
      </c>
      <c r="P133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Q133" t="s">
        <v>222</v>
      </c>
      <c r="R133" t="str">
        <f t="shared" si="64"/>
        <v>Abuja</v>
      </c>
      <c r="S133" t="s">
        <v>92</v>
      </c>
      <c r="T133" s="8" t="str">
        <f>IF(S133="","",IF(ISNUMBER(S133),S133,IF(AND(LEN(S133)=10,MID(S133,5,1)="-"),IFERROR(DATE(VALUE(LEFT(S133,4)),VALUE(MID(S133,6,2)),VALUE(RIGHT(S133,2))),"Invalid Date"),IF(AND(LEN(S133)=10,MID(S133,3,1)="/"),IFERROR(DATE(VALUE(RIGHT(S133,4)),VALUE(MID(S133,4,2)),VALUE(LEFT(S133,2))),"Invalid Date"),IF(AND(LEN(S133)=10,MID(S133,5,1)="/"),"Invalid Date",IFERROR(DATE(VALUE(RIGHT(S133,4)),MATCH(LEFT(S133,3),{"Jan","Feb","Mar","Apr","May","Jun","Jul","Aug","Sep","Oct","Nov","Dec"},0),VALUE(MID(S133,5,FIND(",",S133)-5))),"Invalid Date"))))))</f>
        <v>Invalid Date</v>
      </c>
      <c r="U133" t="s">
        <v>144</v>
      </c>
      <c r="V133" t="str">
        <f t="shared" si="65"/>
        <v>Consultation</v>
      </c>
      <c r="W133" t="s">
        <v>195</v>
      </c>
      <c r="X133" t="str">
        <f t="shared" si="66"/>
        <v>Skin Rash</v>
      </c>
      <c r="Y133" t="s">
        <v>789</v>
      </c>
      <c r="Z133" t="str">
        <f t="shared" si="67"/>
        <v>163/72</v>
      </c>
      <c r="AA133" t="str">
        <f t="shared" si="68"/>
        <v>Valid</v>
      </c>
      <c r="AB133" t="s">
        <v>790</v>
      </c>
      <c r="AC133" s="6">
        <f t="shared" si="69"/>
        <v>39.1</v>
      </c>
      <c r="AD133" s="6" t="str">
        <f t="shared" si="70"/>
        <v>Valid</v>
      </c>
      <c r="AE133" t="s">
        <v>204</v>
      </c>
      <c r="AF133" t="str">
        <f t="shared" si="71"/>
        <v/>
      </c>
      <c r="AG133" t="str">
        <f t="shared" si="72"/>
        <v>Missing</v>
      </c>
      <c r="AH133" t="s">
        <v>114</v>
      </c>
      <c r="AI133" t="str">
        <f t="shared" si="73"/>
        <v>NHIS</v>
      </c>
      <c r="AJ133" s="5" t="s">
        <v>791</v>
      </c>
      <c r="AK133">
        <f>IF(TRIM(AJ133)="","",IF(LOWER(TRIM(AJ133))="one hundred",100,IFERROR(IF(VALUE(SUBSTITUTE(UPPER(TRIM(AJ133)),"GHS",""))&lt;0,"",VALUE(SUBSTITUTE(UPPER(TRIM(AJ133)),"GHS",""))),"")))</f>
        <v>67.540000000000006</v>
      </c>
      <c r="AL133" t="s">
        <v>792</v>
      </c>
      <c r="AM133">
        <f t="shared" si="74"/>
        <v>18.95</v>
      </c>
      <c r="AN133" t="s">
        <v>95</v>
      </c>
      <c r="AO133" t="str">
        <f t="shared" si="75"/>
        <v>Pending</v>
      </c>
      <c r="AP133">
        <f>IF(OR(MessyClinicPatients[[#This Row],[Clean Total Bill]]="",MessyClinicPatients[[#This Row],[Clean Amount Paid]]=""),"",MessyClinicPatients[[#This Row],[Clean Total Bill]]-MessyClinicPatients[[#This Row],[Clean Amount Paid]])</f>
        <v>48.59</v>
      </c>
      <c r="AQ133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133" t="s">
        <v>211</v>
      </c>
      <c r="AS133" t="str">
        <f t="shared" si="76"/>
        <v>Nurse Ama</v>
      </c>
      <c r="AT133" t="s">
        <v>274</v>
      </c>
      <c r="AU133" t="str">
        <f t="shared" si="77"/>
        <v>Repeated Record?</v>
      </c>
    </row>
    <row r="134" spans="1:47" ht="18" customHeight="1">
      <c r="A134" t="s">
        <v>793</v>
      </c>
      <c r="B134" t="str">
        <f t="shared" si="62"/>
        <v>P-1133</v>
      </c>
      <c r="C134" t="s">
        <v>22</v>
      </c>
      <c r="D134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Abena</v>
      </c>
      <c r="E134" t="s">
        <v>86</v>
      </c>
      <c r="F134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Williams</v>
      </c>
      <c r="G134" t="s">
        <v>24</v>
      </c>
      <c r="H134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134" t="s">
        <v>234</v>
      </c>
      <c r="J134" t="str">
        <f t="shared" si="63"/>
        <v>Male</v>
      </c>
      <c r="L134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34" t="s">
        <v>794</v>
      </c>
      <c r="N134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+233243285767</v>
      </c>
      <c r="P134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134" t="s">
        <v>222</v>
      </c>
      <c r="R134" t="str">
        <f t="shared" si="64"/>
        <v>Abuja</v>
      </c>
      <c r="S134" t="s">
        <v>795</v>
      </c>
      <c r="T134" s="8">
        <f>IF(S134="","",IF(ISNUMBER(S134),S134,IF(AND(LEN(S134)=10,MID(S134,5,1)="-"),IFERROR(DATE(VALUE(LEFT(S134,4)),VALUE(MID(S134,6,2)),VALUE(RIGHT(S134,2))),"Invalid Date"),IF(AND(LEN(S134)=10,MID(S134,3,1)="/"),IFERROR(DATE(VALUE(RIGHT(S134,4)),VALUE(MID(S134,4,2)),VALUE(LEFT(S134,2))),"Invalid Date"),IF(AND(LEN(S134)=10,MID(S134,5,1)="/"),"Invalid Date",IFERROR(DATE(VALUE(RIGHT(S134,4)),MATCH(LEFT(S134,3),{"Jan","Feb","Mar","Apr","May","Jun","Jul","Aug","Sep","Oct","Nov","Dec"},0),VALUE(MID(S134,5,FIND(",",S134)-5))),"Invalid Date"))))))</f>
        <v>46151</v>
      </c>
      <c r="U134" t="s">
        <v>48</v>
      </c>
      <c r="V134" t="str">
        <f t="shared" si="65"/>
        <v>Routine Checkup</v>
      </c>
      <c r="W134" t="s">
        <v>412</v>
      </c>
      <c r="X134" t="str">
        <f t="shared" si="66"/>
        <v>Asthma</v>
      </c>
      <c r="Y134" t="s">
        <v>145</v>
      </c>
      <c r="Z134" t="str">
        <f t="shared" si="67"/>
        <v>120/80</v>
      </c>
      <c r="AA134" t="str">
        <f t="shared" si="68"/>
        <v>Valid</v>
      </c>
      <c r="AC134" s="6" t="str">
        <f t="shared" si="69"/>
        <v/>
      </c>
      <c r="AD134" s="6" t="str">
        <f t="shared" si="70"/>
        <v>Missing</v>
      </c>
      <c r="AE134" t="s">
        <v>238</v>
      </c>
      <c r="AF134" t="str">
        <f t="shared" si="71"/>
        <v/>
      </c>
      <c r="AG134" t="str">
        <f t="shared" si="72"/>
        <v>Missing</v>
      </c>
      <c r="AH134" t="s">
        <v>93</v>
      </c>
      <c r="AI134" t="str">
        <f t="shared" si="73"/>
        <v>Private</v>
      </c>
      <c r="AJ134" s="5" t="s">
        <v>796</v>
      </c>
      <c r="AK134">
        <f>IF(TRIM(AJ134)="","",IF(LOWER(TRIM(AJ134))="one hundred",100,IFERROR(IF(VALUE(SUBSTITUTE(UPPER(TRIM(AJ134)),"GHS",""))&lt;0,"",VALUE(SUBSTITUTE(UPPER(TRIM(AJ134)),"GHS",""))),"")))</f>
        <v>404.35</v>
      </c>
      <c r="AL134" t="s">
        <v>37</v>
      </c>
      <c r="AM134">
        <f t="shared" si="74"/>
        <v>100</v>
      </c>
      <c r="AN134" t="s">
        <v>137</v>
      </c>
      <c r="AO134" t="str">
        <f t="shared" si="75"/>
        <v>Unpaid</v>
      </c>
      <c r="AP134">
        <f>IF(OR(MessyClinicPatients[[#This Row],[Clean Total Bill]]="",MessyClinicPatients[[#This Row],[Clean Amount Paid]]=""),"",MessyClinicPatients[[#This Row],[Clean Total Bill]]-MessyClinicPatients[[#This Row],[Clean Amount Paid]])</f>
        <v>304.35000000000002</v>
      </c>
      <c r="AQ134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134" t="s">
        <v>148</v>
      </c>
      <c r="AS134" t="str">
        <f t="shared" si="76"/>
        <v>Dr. Mensah</v>
      </c>
      <c r="AT134" t="s">
        <v>171</v>
      </c>
      <c r="AU134" t="str">
        <f t="shared" si="77"/>
        <v>Allergy: Penicillin</v>
      </c>
    </row>
    <row r="135" spans="1:47" ht="18" customHeight="1">
      <c r="A135" t="s">
        <v>797</v>
      </c>
      <c r="B135" t="str">
        <f t="shared" si="62"/>
        <v>P-1134</v>
      </c>
      <c r="C135" t="s">
        <v>56</v>
      </c>
      <c r="D135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Ibrahim</v>
      </c>
      <c r="E135" t="s">
        <v>344</v>
      </c>
      <c r="F135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Boateng</v>
      </c>
      <c r="G135" t="s">
        <v>24</v>
      </c>
      <c r="H135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135" t="s">
        <v>59</v>
      </c>
      <c r="J135" t="str">
        <f t="shared" si="63"/>
        <v>Female</v>
      </c>
      <c r="L135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35" t="s">
        <v>798</v>
      </c>
      <c r="N135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+233245808448</v>
      </c>
      <c r="O135" t="s">
        <v>799</v>
      </c>
      <c r="P135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ibrahim_boateng@clinicmail.org</v>
      </c>
      <c r="Q135" t="s">
        <v>76</v>
      </c>
      <c r="R135" t="str">
        <f t="shared" si="64"/>
        <v>Cape Coast</v>
      </c>
      <c r="S135" t="s">
        <v>800</v>
      </c>
      <c r="T135" s="8">
        <f>IF(S135="","",IF(ISNUMBER(S135),S135,IF(AND(LEN(S135)=10,MID(S135,5,1)="-"),IFERROR(DATE(VALUE(LEFT(S135,4)),VALUE(MID(S135,6,2)),VALUE(RIGHT(S135,2))),"Invalid Date"),IF(AND(LEN(S135)=10,MID(S135,3,1)="/"),IFERROR(DATE(VALUE(RIGHT(S135,4)),VALUE(MID(S135,4,2)),VALUE(LEFT(S135,2))),"Invalid Date"),IF(AND(LEN(S135)=10,MID(S135,5,1)="/"),"Invalid Date",IFERROR(DATE(VALUE(RIGHT(S135,4)),MATCH(LEFT(S135,3),{"Jan","Feb","Mar","Apr","May","Jun","Jul","Aug","Sep","Oct","Nov","Dec"},0),VALUE(MID(S135,5,FIND(",",S135)-5))),"Invalid Date"))))))</f>
        <v>46185</v>
      </c>
      <c r="U135" t="s">
        <v>102</v>
      </c>
      <c r="V135" t="str">
        <f t="shared" si="65"/>
        <v>Consultation</v>
      </c>
      <c r="X135" t="str">
        <f t="shared" si="66"/>
        <v/>
      </c>
      <c r="Y135" t="s">
        <v>179</v>
      </c>
      <c r="Z135" t="str">
        <f t="shared" si="67"/>
        <v/>
      </c>
      <c r="AA135" t="str">
        <f t="shared" si="68"/>
        <v>Missing</v>
      </c>
      <c r="AB135" t="s">
        <v>156</v>
      </c>
      <c r="AC135" s="6">
        <f t="shared" si="69"/>
        <v>37.1</v>
      </c>
      <c r="AD135" s="6" t="str">
        <f t="shared" si="70"/>
        <v>Valid</v>
      </c>
      <c r="AE135" t="s">
        <v>238</v>
      </c>
      <c r="AF135" t="str">
        <f t="shared" si="71"/>
        <v/>
      </c>
      <c r="AG135" t="str">
        <f t="shared" si="72"/>
        <v>Missing</v>
      </c>
      <c r="AH135" t="s">
        <v>51</v>
      </c>
      <c r="AI135" t="str">
        <f t="shared" si="73"/>
        <v>Private</v>
      </c>
      <c r="AJ135" s="5" t="s">
        <v>801</v>
      </c>
      <c r="AK135">
        <f>IF(TRIM(AJ135)="","",IF(LOWER(TRIM(AJ135))="one hundred",100,IFERROR(IF(VALUE(SUBSTITUTE(UPPER(TRIM(AJ135)),"GHS",""))&lt;0,"",VALUE(SUBSTITUTE(UPPER(TRIM(AJ135)),"GHS",""))),"")))</f>
        <v>504.23</v>
      </c>
      <c r="AL135" t="s">
        <v>37</v>
      </c>
      <c r="AM135">
        <f t="shared" si="74"/>
        <v>100</v>
      </c>
      <c r="AN135" t="s">
        <v>68</v>
      </c>
      <c r="AO135" t="str">
        <f t="shared" si="75"/>
        <v>Paid</v>
      </c>
      <c r="AP135">
        <f>IF(OR(MessyClinicPatients[[#This Row],[Clean Total Bill]]="",MessyClinicPatients[[#This Row],[Clean Amount Paid]]=""),"",MessyClinicPatients[[#This Row],[Clean Total Bill]]-MessyClinicPatients[[#This Row],[Clean Amount Paid]])</f>
        <v>404.23</v>
      </c>
      <c r="AQ135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135" t="s">
        <v>148</v>
      </c>
      <c r="AS135" t="str">
        <f t="shared" si="76"/>
        <v>Dr. Mensah</v>
      </c>
      <c r="AT135" t="s">
        <v>40</v>
      </c>
      <c r="AU135" t="str">
        <f t="shared" si="77"/>
        <v>Needs Follow-Up</v>
      </c>
    </row>
    <row r="136" spans="1:47" ht="18" customHeight="1">
      <c r="A136" t="s">
        <v>802</v>
      </c>
      <c r="B136" t="str">
        <f t="shared" si="62"/>
        <v>P-0135</v>
      </c>
      <c r="C136" t="s">
        <v>85</v>
      </c>
      <c r="D136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Ruth</v>
      </c>
      <c r="E136" t="s">
        <v>72</v>
      </c>
      <c r="F136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Owusu</v>
      </c>
      <c r="H136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136" t="s">
        <v>183</v>
      </c>
      <c r="J136" t="str">
        <f t="shared" si="63"/>
        <v>Male</v>
      </c>
      <c r="L136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36" t="s">
        <v>803</v>
      </c>
      <c r="N136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0245711201</v>
      </c>
      <c r="O136" t="s">
        <v>804</v>
      </c>
      <c r="P136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ruth_owusu@clinicmail.org</v>
      </c>
      <c r="Q136" t="s">
        <v>132</v>
      </c>
      <c r="R136" t="str">
        <f t="shared" si="64"/>
        <v>Kano</v>
      </c>
      <c r="S136" t="s">
        <v>805</v>
      </c>
      <c r="T136" s="8">
        <f>IF(S136="","",IF(ISNUMBER(S136),S136,IF(AND(LEN(S136)=10,MID(S136,5,1)="-"),IFERROR(DATE(VALUE(LEFT(S136,4)),VALUE(MID(S136,6,2)),VALUE(RIGHT(S136,2))),"Invalid Date"),IF(AND(LEN(S136)=10,MID(S136,3,1)="/"),IFERROR(DATE(VALUE(RIGHT(S136,4)),VALUE(MID(S136,4,2)),VALUE(LEFT(S136,2))),"Invalid Date"),IF(AND(LEN(S136)=10,MID(S136,5,1)="/"),"Invalid Date",IFERROR(DATE(VALUE(RIGHT(S136,4)),MATCH(LEFT(S136,3),{"Jan","Feb","Mar","Apr","May","Jun","Jul","Aug","Sep","Oct","Nov","Dec"},0),VALUE(MID(S136,5,FIND(",",S136)-5))),"Invalid Date"))))))</f>
        <v>46053</v>
      </c>
      <c r="U136" t="s">
        <v>77</v>
      </c>
      <c r="V136" t="str">
        <f t="shared" si="65"/>
        <v>Emergency</v>
      </c>
      <c r="W136" t="s">
        <v>31</v>
      </c>
      <c r="X136" t="str">
        <f t="shared" si="66"/>
        <v>Malaria</v>
      </c>
      <c r="Y136" t="s">
        <v>179</v>
      </c>
      <c r="Z136" t="str">
        <f t="shared" si="67"/>
        <v/>
      </c>
      <c r="AA136" t="str">
        <f t="shared" si="68"/>
        <v>Missing</v>
      </c>
      <c r="AB136" t="s">
        <v>657</v>
      </c>
      <c r="AC136" s="6">
        <f t="shared" si="69"/>
        <v>35.833333333333336</v>
      </c>
      <c r="AD136" s="6" t="str">
        <f t="shared" si="70"/>
        <v>Fahrenheit Converted</v>
      </c>
      <c r="AE136" t="s">
        <v>806</v>
      </c>
      <c r="AF136" t="str">
        <f t="shared" si="71"/>
        <v/>
      </c>
      <c r="AG136" t="str">
        <f t="shared" si="72"/>
        <v>Missing</v>
      </c>
      <c r="AH136" t="s">
        <v>81</v>
      </c>
      <c r="AI136" t="str">
        <f t="shared" si="73"/>
        <v>NHIS</v>
      </c>
      <c r="AJ136" s="5" t="s">
        <v>807</v>
      </c>
      <c r="AK136">
        <f>IF(TRIM(AJ136)="","",IF(LOWER(TRIM(AJ136))="one hundred",100,IFERROR(IF(VALUE(SUBSTITUTE(UPPER(TRIM(AJ136)),"GHS",""))&lt;0,"",VALUE(SUBSTITUTE(UPPER(TRIM(AJ136)),"GHS",""))),"")))</f>
        <v>260.48</v>
      </c>
      <c r="AL136" t="s">
        <v>807</v>
      </c>
      <c r="AM136">
        <f t="shared" si="74"/>
        <v>260.48</v>
      </c>
      <c r="AN136" t="s">
        <v>137</v>
      </c>
      <c r="AO136" t="str">
        <f t="shared" si="75"/>
        <v>Unpaid</v>
      </c>
      <c r="AP136">
        <f>IF(OR(MessyClinicPatients[[#This Row],[Clean Total Bill]]="",MessyClinicPatients[[#This Row],[Clean Amount Paid]]=""),"",MessyClinicPatients[[#This Row],[Clean Total Bill]]-MessyClinicPatients[[#This Row],[Clean Amount Paid]])</f>
        <v>0</v>
      </c>
      <c r="AQ136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136" t="s">
        <v>148</v>
      </c>
      <c r="AS136" t="str">
        <f t="shared" si="76"/>
        <v>Dr. Mensah</v>
      </c>
      <c r="AT136" t="s">
        <v>40</v>
      </c>
      <c r="AU136" t="str">
        <f t="shared" si="77"/>
        <v>Needs Follow-Up</v>
      </c>
    </row>
    <row r="137" spans="1:47" ht="18" customHeight="1">
      <c r="A137" t="s">
        <v>808</v>
      </c>
      <c r="B137" t="str">
        <f t="shared" si="62"/>
        <v>P-1136</v>
      </c>
      <c r="C137" t="s">
        <v>173</v>
      </c>
      <c r="D137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Chinedu</v>
      </c>
      <c r="E137" t="s">
        <v>57</v>
      </c>
      <c r="F137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Ali</v>
      </c>
      <c r="G137" s="9">
        <v>130</v>
      </c>
      <c r="H137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137" t="s">
        <v>88</v>
      </c>
      <c r="J137" t="str">
        <f t="shared" si="63"/>
        <v>Female</v>
      </c>
      <c r="L137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N137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137" t="s">
        <v>27</v>
      </c>
      <c r="P137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137" t="s">
        <v>222</v>
      </c>
      <c r="R137" t="str">
        <f t="shared" si="64"/>
        <v>Abuja</v>
      </c>
      <c r="S137" t="s">
        <v>809</v>
      </c>
      <c r="T137" s="8">
        <f>IF(S137="","",IF(ISNUMBER(S137),S137,IF(AND(LEN(S137)=10,MID(S137,5,1)="-"),IFERROR(DATE(VALUE(LEFT(S137,4)),VALUE(MID(S137,6,2)),VALUE(RIGHT(S137,2))),"Invalid Date"),IF(AND(LEN(S137)=10,MID(S137,3,1)="/"),IFERROR(DATE(VALUE(RIGHT(S137,4)),VALUE(MID(S137,4,2)),VALUE(LEFT(S137,2))),"Invalid Date"),IF(AND(LEN(S137)=10,MID(S137,5,1)="/"),"Invalid Date",IFERROR(DATE(VALUE(RIGHT(S137,4)),MATCH(LEFT(S137,3),{"Jan","Feb","Mar","Apr","May","Jun","Jul","Aug","Sep","Oct","Nov","Dec"},0),VALUE(MID(S137,5,FIND(",",S137)-5))),"Invalid Date"))))))</f>
        <v>46066</v>
      </c>
      <c r="U137" t="s">
        <v>111</v>
      </c>
      <c r="V137" t="str">
        <f t="shared" si="65"/>
        <v>Follow-up</v>
      </c>
      <c r="W137" t="s">
        <v>167</v>
      </c>
      <c r="X137" t="str">
        <f t="shared" si="66"/>
        <v>Pregnancy</v>
      </c>
      <c r="Y137" t="s">
        <v>230</v>
      </c>
      <c r="Z137" t="str">
        <f t="shared" si="67"/>
        <v/>
      </c>
      <c r="AA137" t="str">
        <f t="shared" si="68"/>
        <v>Missing</v>
      </c>
      <c r="AB137" t="s">
        <v>33</v>
      </c>
      <c r="AC137" s="6" t="str">
        <f t="shared" si="69"/>
        <v/>
      </c>
      <c r="AD137" s="6" t="str">
        <f t="shared" si="70"/>
        <v>Missing</v>
      </c>
      <c r="AE137" t="s">
        <v>204</v>
      </c>
      <c r="AF137" t="str">
        <f t="shared" si="71"/>
        <v/>
      </c>
      <c r="AG137" t="str">
        <f t="shared" si="72"/>
        <v>Missing</v>
      </c>
      <c r="AH137" t="s">
        <v>49</v>
      </c>
      <c r="AI137" t="str">
        <f t="shared" si="73"/>
        <v>None</v>
      </c>
      <c r="AJ137" s="5" t="s">
        <v>810</v>
      </c>
      <c r="AK137">
        <f>IF(TRIM(AJ137)="","",IF(LOWER(TRIM(AJ137))="one hundred",100,IFERROR(IF(VALUE(SUBSTITUTE(UPPER(TRIM(AJ137)),"GHS",""))&lt;0,"",VALUE(SUBSTITUTE(UPPER(TRIM(AJ137)),"GHS",""))),"")))</f>
        <v>501.61</v>
      </c>
      <c r="AL137" t="s">
        <v>37</v>
      </c>
      <c r="AM137">
        <f t="shared" si="74"/>
        <v>100</v>
      </c>
      <c r="AN137" t="s">
        <v>137</v>
      </c>
      <c r="AO137" t="str">
        <f t="shared" si="75"/>
        <v>Unpaid</v>
      </c>
      <c r="AP137">
        <f>IF(OR(MessyClinicPatients[[#This Row],[Clean Total Bill]]="",MessyClinicPatients[[#This Row],[Clean Amount Paid]]=""),"",MessyClinicPatients[[#This Row],[Clean Total Bill]]-MessyClinicPatients[[#This Row],[Clean Amount Paid]])</f>
        <v>401.61</v>
      </c>
      <c r="AQ137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S137" t="str">
        <f t="shared" si="76"/>
        <v/>
      </c>
      <c r="AT137" t="s">
        <v>97</v>
      </c>
      <c r="AU137" t="str">
        <f t="shared" si="77"/>
        <v>Patient Came Late</v>
      </c>
    </row>
    <row r="138" spans="1:47" ht="18" customHeight="1">
      <c r="B138" t="str">
        <f t="shared" si="62"/>
        <v/>
      </c>
      <c r="C138" t="s">
        <v>193</v>
      </c>
      <c r="D138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Blessing</v>
      </c>
      <c r="E138" t="s">
        <v>72</v>
      </c>
      <c r="F138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Owusu</v>
      </c>
      <c r="G138" s="9">
        <v>78</v>
      </c>
      <c r="H138" t="str">
        <f>IF(OR(MessyClinicPatients[[#This Row],[Age]]="",MessyClinicPatients[[#This Row],[Age]]="unknown"),"Missing",IF(OR(MessyClinicPatients[[#This Row],[Age]]&lt;0,MessyClinicPatients[[#This Row],[Age]]&gt;120),"Invalid Age","Valid"))</f>
        <v>Valid</v>
      </c>
      <c r="I138" t="s">
        <v>163</v>
      </c>
      <c r="J138" t="str">
        <f t="shared" si="63"/>
        <v>Male</v>
      </c>
      <c r="L138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38" t="s">
        <v>812</v>
      </c>
      <c r="N138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+233247141639</v>
      </c>
      <c r="O138" t="s">
        <v>813</v>
      </c>
      <c r="P138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Q138" t="s">
        <v>132</v>
      </c>
      <c r="R138" t="str">
        <f t="shared" si="64"/>
        <v>Kano</v>
      </c>
      <c r="S138" t="s">
        <v>92</v>
      </c>
      <c r="T138" s="8" t="str">
        <f>IF(S138="","",IF(ISNUMBER(S138),S138,IF(AND(LEN(S138)=10,MID(S138,5,1)="-"),IFERROR(DATE(VALUE(LEFT(S138,4)),VALUE(MID(S138,6,2)),VALUE(RIGHT(S138,2))),"Invalid Date"),IF(AND(LEN(S138)=10,MID(S138,3,1)="/"),IFERROR(DATE(VALUE(RIGHT(S138,4)),VALUE(MID(S138,4,2)),VALUE(LEFT(S138,2))),"Invalid Date"),IF(AND(LEN(S138)=10,MID(S138,5,1)="/"),"Invalid Date",IFERROR(DATE(VALUE(RIGHT(S138,4)),MATCH(LEFT(S138,3),{"Jan","Feb","Mar","Apr","May","Jun","Jul","Aug","Sep","Oct","Nov","Dec"},0),VALUE(MID(S138,5,FIND(",",S138)-5))),"Invalid Date"))))))</f>
        <v>Invalid Date</v>
      </c>
      <c r="U138" t="s">
        <v>134</v>
      </c>
      <c r="V138" t="str">
        <f t="shared" si="65"/>
        <v>Follow-up</v>
      </c>
      <c r="W138" t="s">
        <v>167</v>
      </c>
      <c r="X138" t="str">
        <f t="shared" si="66"/>
        <v>Pregnancy</v>
      </c>
      <c r="Y138" t="s">
        <v>179</v>
      </c>
      <c r="Z138" t="str">
        <f t="shared" si="67"/>
        <v/>
      </c>
      <c r="AA138" t="str">
        <f t="shared" si="68"/>
        <v>Missing</v>
      </c>
      <c r="AB138" t="s">
        <v>814</v>
      </c>
      <c r="AC138" s="6">
        <f t="shared" si="69"/>
        <v>35.222222222222221</v>
      </c>
      <c r="AD138" s="6" t="str">
        <f t="shared" si="70"/>
        <v>Fahrenheit Converted</v>
      </c>
      <c r="AE138" t="s">
        <v>238</v>
      </c>
      <c r="AF138" t="str">
        <f t="shared" si="71"/>
        <v/>
      </c>
      <c r="AG138" t="str">
        <f t="shared" si="72"/>
        <v>Missing</v>
      </c>
      <c r="AH138" t="s">
        <v>49</v>
      </c>
      <c r="AI138" t="str">
        <f t="shared" si="73"/>
        <v>None</v>
      </c>
      <c r="AJ138" s="5" t="s">
        <v>815</v>
      </c>
      <c r="AK138">
        <f>IF(TRIM(AJ138)="","",IF(LOWER(TRIM(AJ138))="one hundred",100,IFERROR(IF(VALUE(SUBSTITUTE(UPPER(TRIM(AJ138)),"GHS",""))&lt;0,"",VALUE(SUBSTITUTE(UPPER(TRIM(AJ138)),"GHS",""))),"")))</f>
        <v>499.96</v>
      </c>
      <c r="AL138" t="s">
        <v>116</v>
      </c>
      <c r="AM138" t="str">
        <f t="shared" si="74"/>
        <v/>
      </c>
      <c r="AN138" t="s">
        <v>117</v>
      </c>
      <c r="AO138" t="str">
        <f t="shared" si="75"/>
        <v>Refunded</v>
      </c>
      <c r="AP138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138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Refunded</v>
      </c>
      <c r="AR138" t="s">
        <v>54</v>
      </c>
      <c r="AS138" t="str">
        <f t="shared" si="76"/>
        <v>Dr. Lee</v>
      </c>
      <c r="AT138" t="s">
        <v>274</v>
      </c>
      <c r="AU138" t="str">
        <f t="shared" si="77"/>
        <v>Repeated Record?</v>
      </c>
    </row>
    <row r="139" spans="1:47" ht="18" customHeight="1">
      <c r="B139" t="str">
        <f t="shared" si="62"/>
        <v/>
      </c>
      <c r="C139" t="s">
        <v>161</v>
      </c>
      <c r="D139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Emeka</v>
      </c>
      <c r="E139" t="s">
        <v>140</v>
      </c>
      <c r="F139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Smith</v>
      </c>
      <c r="G139" s="9">
        <v>130</v>
      </c>
      <c r="H139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139" t="s">
        <v>163</v>
      </c>
      <c r="J139" t="str">
        <f t="shared" si="63"/>
        <v>Male</v>
      </c>
      <c r="L139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N139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139" t="s">
        <v>816</v>
      </c>
      <c r="P139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emeka.smith@email.com</v>
      </c>
      <c r="Q139" t="s">
        <v>132</v>
      </c>
      <c r="R139" t="str">
        <f t="shared" si="64"/>
        <v>Kano</v>
      </c>
      <c r="S139" t="s">
        <v>817</v>
      </c>
      <c r="T139" s="8">
        <f>IF(S139="","",IF(ISNUMBER(S139),S139,IF(AND(LEN(S139)=10,MID(S139,5,1)="-"),IFERROR(DATE(VALUE(LEFT(S139,4)),VALUE(MID(S139,6,2)),VALUE(RIGHT(S139,2))),"Invalid Date"),IF(AND(LEN(S139)=10,MID(S139,3,1)="/"),IFERROR(DATE(VALUE(RIGHT(S139,4)),VALUE(MID(S139,4,2)),VALUE(LEFT(S139,2))),"Invalid Date"),IF(AND(LEN(S139)=10,MID(S139,5,1)="/"),"Invalid Date",IFERROR(DATE(VALUE(RIGHT(S139,4)),MATCH(LEFT(S139,3),{"Jan","Feb","Mar","Apr","May","Jun","Jul","Aug","Sep","Oct","Nov","Dec"},0),VALUE(MID(S139,5,FIND(",",S139)-5))),"Invalid Date"))))))</f>
        <v>46156</v>
      </c>
      <c r="U139" t="s">
        <v>30</v>
      </c>
      <c r="V139" t="str">
        <f t="shared" si="65"/>
        <v>Vaccination</v>
      </c>
      <c r="W139" t="s">
        <v>49</v>
      </c>
      <c r="X139" t="str">
        <f t="shared" si="66"/>
        <v>None</v>
      </c>
      <c r="Y139" t="s">
        <v>145</v>
      </c>
      <c r="Z139" t="str">
        <f t="shared" si="67"/>
        <v>120/80</v>
      </c>
      <c r="AA139" t="str">
        <f t="shared" si="68"/>
        <v>Valid</v>
      </c>
      <c r="AB139" t="s">
        <v>33</v>
      </c>
      <c r="AC139" s="6" t="str">
        <f t="shared" si="69"/>
        <v/>
      </c>
      <c r="AD139" s="6" t="str">
        <f t="shared" si="70"/>
        <v>Missing</v>
      </c>
      <c r="AE139" t="s">
        <v>238</v>
      </c>
      <c r="AF139" t="str">
        <f t="shared" si="71"/>
        <v/>
      </c>
      <c r="AG139" t="str">
        <f t="shared" si="72"/>
        <v>Missing</v>
      </c>
      <c r="AI139" t="str">
        <f t="shared" si="73"/>
        <v/>
      </c>
      <c r="AJ139" s="5" t="s">
        <v>818</v>
      </c>
      <c r="AK139">
        <f>IF(TRIM(AJ139)="","",IF(LOWER(TRIM(AJ139))="one hundred",100,IFERROR(IF(VALUE(SUBSTITUTE(UPPER(TRIM(AJ139)),"GHS",""))&lt;0,"",VALUE(SUBSTITUTE(UPPER(TRIM(AJ139)),"GHS",""))),"")))</f>
        <v>237.52</v>
      </c>
      <c r="AL139" t="s">
        <v>53</v>
      </c>
      <c r="AM139">
        <f t="shared" si="74"/>
        <v>0</v>
      </c>
      <c r="AN139" t="s">
        <v>68</v>
      </c>
      <c r="AO139" t="str">
        <f t="shared" si="75"/>
        <v>Paid</v>
      </c>
      <c r="AP139">
        <f>IF(OR(MessyClinicPatients[[#This Row],[Clean Total Bill]]="",MessyClinicPatients[[#This Row],[Clean Amount Paid]]=""),"",MessyClinicPatients[[#This Row],[Clean Total Bill]]-MessyClinicPatients[[#This Row],[Clean Amount Paid]])</f>
        <v>237.52</v>
      </c>
      <c r="AQ139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R139" t="s">
        <v>211</v>
      </c>
      <c r="AS139" t="str">
        <f t="shared" si="76"/>
        <v>Nurse Ama</v>
      </c>
      <c r="AT139" t="s">
        <v>97</v>
      </c>
      <c r="AU139" t="str">
        <f t="shared" si="77"/>
        <v>Patient Came Late</v>
      </c>
    </row>
    <row r="140" spans="1:47" ht="18" customHeight="1">
      <c r="A140" t="s">
        <v>819</v>
      </c>
      <c r="B140" t="str">
        <f t="shared" si="62"/>
        <v>P-1139</v>
      </c>
      <c r="C140" t="s">
        <v>173</v>
      </c>
      <c r="D140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Chinedu</v>
      </c>
      <c r="E140" t="s">
        <v>313</v>
      </c>
      <c r="F140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Abiola</v>
      </c>
      <c r="G140" s="9">
        <v>130</v>
      </c>
      <c r="H140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140" t="s">
        <v>88</v>
      </c>
      <c r="J140" t="str">
        <f t="shared" si="63"/>
        <v>Female</v>
      </c>
      <c r="L140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40" t="s">
        <v>61</v>
      </c>
      <c r="N140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Invalid Phone</v>
      </c>
      <c r="O140" t="s">
        <v>820</v>
      </c>
      <c r="P140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chinedu.abiola@email.com</v>
      </c>
      <c r="Q140" t="s">
        <v>289</v>
      </c>
      <c r="R140" t="str">
        <f t="shared" si="64"/>
        <v>Enugu</v>
      </c>
      <c r="T140" s="8" t="str">
        <f>IF(S140="","",IF(ISNUMBER(S140),S140,IF(AND(LEN(S140)=10,MID(S140,5,1)="-"),IFERROR(DATE(VALUE(LEFT(S140,4)),VALUE(MID(S140,6,2)),VALUE(RIGHT(S140,2))),"Invalid Date"),IF(AND(LEN(S140)=10,MID(S140,3,1)="/"),IFERROR(DATE(VALUE(RIGHT(S140,4)),VALUE(MID(S140,4,2)),VALUE(LEFT(S140,2))),"Invalid Date"),IF(AND(LEN(S140)=10,MID(S140,5,1)="/"),"Invalid Date",IFERROR(DATE(VALUE(RIGHT(S140,4)),MATCH(LEFT(S140,3),{"Jan","Feb","Mar","Apr","May","Jun","Jul","Aug","Sep","Oct","Nov","Dec"},0),VALUE(MID(S140,5,FIND(",",S140)-5))),"Invalid Date"))))))</f>
        <v/>
      </c>
      <c r="U140" t="s">
        <v>111</v>
      </c>
      <c r="V140" t="str">
        <f t="shared" si="65"/>
        <v>Follow-up</v>
      </c>
      <c r="W140" t="s">
        <v>103</v>
      </c>
      <c r="X140" t="str">
        <f t="shared" si="66"/>
        <v>Diabetes</v>
      </c>
      <c r="Z140" t="str">
        <f t="shared" si="67"/>
        <v/>
      </c>
      <c r="AA140" t="str">
        <f t="shared" si="68"/>
        <v>Missing</v>
      </c>
      <c r="AB140" t="s">
        <v>524</v>
      </c>
      <c r="AC140" s="6">
        <f t="shared" si="69"/>
        <v>39.4</v>
      </c>
      <c r="AD140" s="6" t="str">
        <f t="shared" si="70"/>
        <v>Valid</v>
      </c>
      <c r="AE140" t="s">
        <v>658</v>
      </c>
      <c r="AF140" t="str">
        <f t="shared" si="71"/>
        <v/>
      </c>
      <c r="AG140" t="str">
        <f t="shared" si="72"/>
        <v>Missing</v>
      </c>
      <c r="AH140" t="s">
        <v>93</v>
      </c>
      <c r="AI140" t="str">
        <f t="shared" si="73"/>
        <v>Private</v>
      </c>
      <c r="AJ140" s="5" t="s">
        <v>821</v>
      </c>
      <c r="AK140">
        <f>IF(TRIM(AJ140)="","",IF(LOWER(TRIM(AJ140))="one hundred",100,IFERROR(IF(VALUE(SUBSTITUTE(UPPER(TRIM(AJ140)),"GHS",""))&lt;0,"",VALUE(SUBSTITUTE(UPPER(TRIM(AJ140)),"GHS",""))),"")))</f>
        <v>474.2</v>
      </c>
      <c r="AL140" t="s">
        <v>821</v>
      </c>
      <c r="AM140">
        <f t="shared" si="74"/>
        <v>474.2</v>
      </c>
      <c r="AN140" t="s">
        <v>38</v>
      </c>
      <c r="AO140" t="str">
        <f t="shared" si="75"/>
        <v>Partially Paid</v>
      </c>
      <c r="AP140">
        <f>IF(OR(MessyClinicPatients[[#This Row],[Clean Total Bill]]="",MessyClinicPatients[[#This Row],[Clean Amount Paid]]=""),"",MessyClinicPatients[[#This Row],[Clean Total Bill]]-MessyClinicPatients[[#This Row],[Clean Amount Paid]])</f>
        <v>0</v>
      </c>
      <c r="AQ140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140" t="s">
        <v>39</v>
      </c>
      <c r="AS140" t="str">
        <f t="shared" si="76"/>
        <v>Dr. Okoro</v>
      </c>
      <c r="AU140" t="str">
        <f t="shared" si="77"/>
        <v/>
      </c>
    </row>
    <row r="141" spans="1:47" ht="18" customHeight="1">
      <c r="B141" t="str">
        <f t="shared" si="62"/>
        <v/>
      </c>
      <c r="C141" t="s">
        <v>661</v>
      </c>
      <c r="D141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Kofi</v>
      </c>
      <c r="E141" t="s">
        <v>440</v>
      </c>
      <c r="F141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Okafor</v>
      </c>
      <c r="G141" s="9">
        <v>-3</v>
      </c>
      <c r="H141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141" t="s">
        <v>234</v>
      </c>
      <c r="J141" t="str">
        <f t="shared" si="63"/>
        <v>Male</v>
      </c>
      <c r="L141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41" t="s">
        <v>822</v>
      </c>
      <c r="N141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0245806156</v>
      </c>
      <c r="O141" t="s">
        <v>27</v>
      </c>
      <c r="P141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141" t="s">
        <v>110</v>
      </c>
      <c r="R141" t="str">
        <f t="shared" si="64"/>
        <v>Kumasi</v>
      </c>
      <c r="S141" t="s">
        <v>823</v>
      </c>
      <c r="T141" s="8">
        <f>IF(S141="","",IF(ISNUMBER(S141),S141,IF(AND(LEN(S141)=10,MID(S141,5,1)="-"),IFERROR(DATE(VALUE(LEFT(S141,4)),VALUE(MID(S141,6,2)),VALUE(RIGHT(S141,2))),"Invalid Date"),IF(AND(LEN(S141)=10,MID(S141,3,1)="/"),IFERROR(DATE(VALUE(RIGHT(S141,4)),VALUE(MID(S141,4,2)),VALUE(LEFT(S141,2))),"Invalid Date"),IF(AND(LEN(S141)=10,MID(S141,5,1)="/"),"Invalid Date",IFERROR(DATE(VALUE(RIGHT(S141,4)),MATCH(LEFT(S141,3),{"Jan","Feb","Mar","Apr","May","Jun","Jul","Aug","Sep","Oct","Nov","Dec"},0),VALUE(MID(S141,5,FIND(",",S141)-5))),"Invalid Date"))))))</f>
        <v>46135</v>
      </c>
      <c r="U141" t="s">
        <v>134</v>
      </c>
      <c r="V141" t="str">
        <f t="shared" si="65"/>
        <v>Follow-up</v>
      </c>
      <c r="W141" t="s">
        <v>229</v>
      </c>
      <c r="X141" t="str">
        <f t="shared" si="66"/>
        <v>Flu</v>
      </c>
      <c r="Y141" t="s">
        <v>824</v>
      </c>
      <c r="Z141" t="str">
        <f t="shared" si="67"/>
        <v/>
      </c>
      <c r="AA141" t="str">
        <f t="shared" si="68"/>
        <v>Missing</v>
      </c>
      <c r="AC141" s="6" t="str">
        <f t="shared" si="69"/>
        <v/>
      </c>
      <c r="AD141" s="6" t="str">
        <f t="shared" si="70"/>
        <v>Missing</v>
      </c>
      <c r="AE141" t="s">
        <v>80</v>
      </c>
      <c r="AF141">
        <f t="shared" si="71"/>
        <v>80</v>
      </c>
      <c r="AG141" t="str">
        <f t="shared" si="72"/>
        <v>Valid</v>
      </c>
      <c r="AI141" t="str">
        <f t="shared" si="73"/>
        <v/>
      </c>
      <c r="AJ141" s="5" t="s">
        <v>825</v>
      </c>
      <c r="AK141">
        <f>IF(TRIM(AJ141)="","",IF(LOWER(TRIM(AJ141))="one hundred",100,IFERROR(IF(VALUE(SUBSTITUTE(UPPER(TRIM(AJ141)),"GHS",""))&lt;0,"",VALUE(SUBSTITUTE(UPPER(TRIM(AJ141)),"GHS",""))),"")))</f>
        <v>136.99</v>
      </c>
      <c r="AL141" t="s">
        <v>37</v>
      </c>
      <c r="AM141">
        <f t="shared" si="74"/>
        <v>100</v>
      </c>
      <c r="AN141" t="s">
        <v>68</v>
      </c>
      <c r="AO141" t="str">
        <f t="shared" si="75"/>
        <v>Paid</v>
      </c>
      <c r="AP141">
        <f>IF(OR(MessyClinicPatients[[#This Row],[Clean Total Bill]]="",MessyClinicPatients[[#This Row],[Clean Amount Paid]]=""),"",MessyClinicPatients[[#This Row],[Clean Total Bill]]-MessyClinicPatients[[#This Row],[Clean Amount Paid]])</f>
        <v>36.990000000000009</v>
      </c>
      <c r="AQ141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S141" t="str">
        <f t="shared" si="76"/>
        <v/>
      </c>
      <c r="AT141" t="s">
        <v>40</v>
      </c>
      <c r="AU141" t="str">
        <f t="shared" si="77"/>
        <v>Needs Follow-Up</v>
      </c>
    </row>
    <row r="142" spans="1:47" ht="18" customHeight="1">
      <c r="B142" t="str">
        <f t="shared" si="62"/>
        <v/>
      </c>
      <c r="C142" t="s">
        <v>541</v>
      </c>
      <c r="D142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Hannah</v>
      </c>
      <c r="E142" t="s">
        <v>344</v>
      </c>
      <c r="F142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Boateng</v>
      </c>
      <c r="G142" s="9">
        <v>67</v>
      </c>
      <c r="H142" t="str">
        <f>IF(OR(MessyClinicPatients[[#This Row],[Age]]="",MessyClinicPatients[[#This Row],[Age]]="unknown"),"Missing",IF(OR(MessyClinicPatients[[#This Row],[Age]]&lt;0,MessyClinicPatients[[#This Row],[Age]]&gt;120),"Invalid Age","Valid"))</f>
        <v>Valid</v>
      </c>
      <c r="J142" t="str">
        <f t="shared" si="63"/>
        <v/>
      </c>
      <c r="K142" t="s">
        <v>827</v>
      </c>
      <c r="L142" s="8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21599</v>
      </c>
      <c r="M142" t="s">
        <v>176</v>
      </c>
      <c r="N142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142" t="s">
        <v>828</v>
      </c>
      <c r="P142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hannah_boateng@clinicmail.org</v>
      </c>
      <c r="Q142" t="s">
        <v>76</v>
      </c>
      <c r="R142" t="str">
        <f t="shared" si="64"/>
        <v>Cape Coast</v>
      </c>
      <c r="S142" t="s">
        <v>829</v>
      </c>
      <c r="T142" s="8">
        <f>IF(S142="","",IF(ISNUMBER(S142),S142,IF(AND(LEN(S142)=10,MID(S142,5,1)="-"),IFERROR(DATE(VALUE(LEFT(S142,4)),VALUE(MID(S142,6,2)),VALUE(RIGHT(S142,2))),"Invalid Date"),IF(AND(LEN(S142)=10,MID(S142,3,1)="/"),IFERROR(DATE(VALUE(RIGHT(S142,4)),VALUE(MID(S142,4,2)),VALUE(LEFT(S142,2))),"Invalid Date"),IF(AND(LEN(S142)=10,MID(S142,5,1)="/"),"Invalid Date",IFERROR(DATE(VALUE(RIGHT(S142,4)),MATCH(LEFT(S142,3),{"Jan","Feb","Mar","Apr","May","Jun","Jul","Aug","Sep","Oct","Nov","Dec"},0),VALUE(MID(S142,5,FIND(",",S142)-5))),"Invalid Date"))))))</f>
        <v>46024</v>
      </c>
      <c r="U142" t="s">
        <v>48</v>
      </c>
      <c r="V142" t="str">
        <f t="shared" si="65"/>
        <v>Routine Checkup</v>
      </c>
      <c r="W142" t="s">
        <v>224</v>
      </c>
      <c r="X142" t="str">
        <f t="shared" si="66"/>
        <v>Diabetes</v>
      </c>
      <c r="Z142" t="str">
        <f t="shared" si="67"/>
        <v/>
      </c>
      <c r="AA142" t="str">
        <f t="shared" si="68"/>
        <v>Missing</v>
      </c>
      <c r="AB142" t="s">
        <v>33</v>
      </c>
      <c r="AC142" s="6" t="str">
        <f t="shared" si="69"/>
        <v/>
      </c>
      <c r="AD142" s="6" t="str">
        <f t="shared" si="70"/>
        <v>Missing</v>
      </c>
      <c r="AE142" t="s">
        <v>204</v>
      </c>
      <c r="AF142" t="str">
        <f t="shared" si="71"/>
        <v/>
      </c>
      <c r="AG142" t="str">
        <f t="shared" si="72"/>
        <v>Missing</v>
      </c>
      <c r="AH142" t="s">
        <v>35</v>
      </c>
      <c r="AI142" t="str">
        <f t="shared" si="73"/>
        <v>Corporate</v>
      </c>
      <c r="AJ142" s="5" t="s">
        <v>830</v>
      </c>
      <c r="AK142">
        <f>IF(TRIM(AJ142)="","",IF(LOWER(TRIM(AJ142))="one hundred",100,IFERROR(IF(VALUE(SUBSTITUTE(UPPER(TRIM(AJ142)),"GHS",""))&lt;0,"",VALUE(SUBSTITUTE(UPPER(TRIM(AJ142)),"GHS",""))),"")))</f>
        <v>121.52</v>
      </c>
      <c r="AL142" t="s">
        <v>37</v>
      </c>
      <c r="AM142">
        <f t="shared" si="74"/>
        <v>100</v>
      </c>
      <c r="AN142" t="s">
        <v>117</v>
      </c>
      <c r="AO142" t="str">
        <f t="shared" si="75"/>
        <v>Refunded</v>
      </c>
      <c r="AP142">
        <f>IF(OR(MessyClinicPatients[[#This Row],[Clean Total Bill]]="",MessyClinicPatients[[#This Row],[Clean Amount Paid]]=""),"",MessyClinicPatients[[#This Row],[Clean Total Bill]]-MessyClinicPatients[[#This Row],[Clean Amount Paid]])</f>
        <v>21.519999999999996</v>
      </c>
      <c r="AQ142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142" t="s">
        <v>211</v>
      </c>
      <c r="AS142" t="str">
        <f t="shared" si="76"/>
        <v>Nurse Ama</v>
      </c>
      <c r="AT142" t="s">
        <v>171</v>
      </c>
      <c r="AU142" t="str">
        <f t="shared" si="77"/>
        <v>Allergy: Penicillin</v>
      </c>
    </row>
    <row r="143" spans="1:47" ht="18" customHeight="1">
      <c r="A143" t="s">
        <v>831</v>
      </c>
      <c r="B143" t="str">
        <f t="shared" si="62"/>
        <v>P-0142</v>
      </c>
      <c r="C143" t="s">
        <v>56</v>
      </c>
      <c r="D143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Ibrahim</v>
      </c>
      <c r="E143" t="s">
        <v>282</v>
      </c>
      <c r="F143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Cole</v>
      </c>
      <c r="G143" s="9">
        <v>76</v>
      </c>
      <c r="H143" t="str">
        <f>IF(OR(MessyClinicPatients[[#This Row],[Age]]="",MessyClinicPatients[[#This Row],[Age]]="unknown"),"Missing",IF(OR(MessyClinicPatients[[#This Row],[Age]]&lt;0,MessyClinicPatients[[#This Row],[Age]]&gt;120),"Invalid Age","Valid"))</f>
        <v>Valid</v>
      </c>
      <c r="I143" t="s">
        <v>151</v>
      </c>
      <c r="J143" t="str">
        <f t="shared" si="63"/>
        <v>Male</v>
      </c>
      <c r="K143" t="s">
        <v>833</v>
      </c>
      <c r="L143" s="8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17942</v>
      </c>
      <c r="N143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P143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143" t="s">
        <v>222</v>
      </c>
      <c r="R143" t="str">
        <f t="shared" si="64"/>
        <v>Abuja</v>
      </c>
      <c r="S143" t="s">
        <v>834</v>
      </c>
      <c r="T143" s="8">
        <f>IF(S143="","",IF(ISNUMBER(S143),S143,IF(AND(LEN(S143)=10,MID(S143,5,1)="-"),IFERROR(DATE(VALUE(LEFT(S143,4)),VALUE(MID(S143,6,2)),VALUE(RIGHT(S143,2))),"Invalid Date"),IF(AND(LEN(S143)=10,MID(S143,3,1)="/"),IFERROR(DATE(VALUE(RIGHT(S143,4)),VALUE(MID(S143,4,2)),VALUE(LEFT(S143,2))),"Invalid Date"),IF(AND(LEN(S143)=10,MID(S143,5,1)="/"),"Invalid Date",IFERROR(DATE(VALUE(RIGHT(S143,4)),MATCH(LEFT(S143,3),{"Jan","Feb","Mar","Apr","May","Jun","Jul","Aug","Sep","Oct","Nov","Dec"},0),VALUE(MID(S143,5,FIND(",",S143)-5))),"Invalid Date"))))))</f>
        <v>46086</v>
      </c>
      <c r="U143" t="s">
        <v>296</v>
      </c>
      <c r="V143" t="str">
        <f t="shared" si="65"/>
        <v>Lab Test</v>
      </c>
      <c r="X143" t="str">
        <f t="shared" si="66"/>
        <v/>
      </c>
      <c r="Y143" t="s">
        <v>145</v>
      </c>
      <c r="Z143" t="str">
        <f t="shared" si="67"/>
        <v>120/80</v>
      </c>
      <c r="AA143" t="str">
        <f t="shared" si="68"/>
        <v>Valid</v>
      </c>
      <c r="AB143" t="s">
        <v>33</v>
      </c>
      <c r="AC143" s="6" t="str">
        <f t="shared" si="69"/>
        <v/>
      </c>
      <c r="AD143" s="6" t="str">
        <f t="shared" si="70"/>
        <v>Missing</v>
      </c>
      <c r="AF143" t="str">
        <f t="shared" si="71"/>
        <v/>
      </c>
      <c r="AG143" t="str">
        <f t="shared" si="72"/>
        <v>Missing</v>
      </c>
      <c r="AH143" t="s">
        <v>114</v>
      </c>
      <c r="AI143" t="str">
        <f t="shared" si="73"/>
        <v>NHIS</v>
      </c>
      <c r="AJ143" s="5" t="s">
        <v>835</v>
      </c>
      <c r="AK143">
        <f>IF(TRIM(AJ143)="","",IF(LOWER(TRIM(AJ143))="one hundred",100,IFERROR(IF(VALUE(SUBSTITUTE(UPPER(TRIM(AJ143)),"GHS",""))&lt;0,"",VALUE(SUBSTITUTE(UPPER(TRIM(AJ143)),"GHS",""))),"")))</f>
        <v>73.95</v>
      </c>
      <c r="AL143" t="s">
        <v>53</v>
      </c>
      <c r="AM143">
        <f t="shared" si="74"/>
        <v>0</v>
      </c>
      <c r="AN143" t="s">
        <v>137</v>
      </c>
      <c r="AO143" t="str">
        <f t="shared" si="75"/>
        <v>Unpaid</v>
      </c>
      <c r="AP143">
        <f>IF(OR(MessyClinicPatients[[#This Row],[Clean Total Bill]]="",MessyClinicPatients[[#This Row],[Clean Amount Paid]]=""),"",MessyClinicPatients[[#This Row],[Clean Total Bill]]-MessyClinicPatients[[#This Row],[Clean Amount Paid]])</f>
        <v>73.95</v>
      </c>
      <c r="AQ143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R143" t="s">
        <v>54</v>
      </c>
      <c r="AS143" t="str">
        <f t="shared" si="76"/>
        <v>Dr. Lee</v>
      </c>
      <c r="AT143" t="s">
        <v>274</v>
      </c>
      <c r="AU143" t="str">
        <f t="shared" si="77"/>
        <v>Repeated Record?</v>
      </c>
    </row>
    <row r="144" spans="1:47" ht="18" customHeight="1">
      <c r="A144" t="s">
        <v>836</v>
      </c>
      <c r="B144" t="str">
        <f t="shared" si="62"/>
        <v>P-0143</v>
      </c>
      <c r="C144" t="s">
        <v>193</v>
      </c>
      <c r="D144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Blessing</v>
      </c>
      <c r="E144" t="s">
        <v>394</v>
      </c>
      <c r="F144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Eze</v>
      </c>
      <c r="H144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144" t="s">
        <v>59</v>
      </c>
      <c r="J144" t="str">
        <f t="shared" si="63"/>
        <v>Female</v>
      </c>
      <c r="L144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44" t="s">
        <v>837</v>
      </c>
      <c r="N144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+233242222285</v>
      </c>
      <c r="P144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144" t="s">
        <v>101</v>
      </c>
      <c r="R144" t="str">
        <f t="shared" si="64"/>
        <v>Accra</v>
      </c>
      <c r="S144" t="s">
        <v>838</v>
      </c>
      <c r="T144" s="8">
        <f>IF(S144="","",IF(ISNUMBER(S144),S144,IF(AND(LEN(S144)=10,MID(S144,5,1)="-"),IFERROR(DATE(VALUE(LEFT(S144,4)),VALUE(MID(S144,6,2)),VALUE(RIGHT(S144,2))),"Invalid Date"),IF(AND(LEN(S144)=10,MID(S144,3,1)="/"),IFERROR(DATE(VALUE(RIGHT(S144,4)),VALUE(MID(S144,4,2)),VALUE(LEFT(S144,2))),"Invalid Date"),IF(AND(LEN(S144)=10,MID(S144,5,1)="/"),"Invalid Date",IFERROR(DATE(VALUE(RIGHT(S144,4)),MATCH(LEFT(S144,3),{"Jan","Feb","Mar","Apr","May","Jun","Jul","Aug","Sep","Oct","Nov","Dec"},0),VALUE(MID(S144,5,FIND(",",S144)-5))),"Invalid Date"))))))</f>
        <v>46181</v>
      </c>
      <c r="V144" t="str">
        <f t="shared" si="65"/>
        <v/>
      </c>
      <c r="W144" t="s">
        <v>155</v>
      </c>
      <c r="X144" t="str">
        <f t="shared" si="66"/>
        <v>Migraine</v>
      </c>
      <c r="Y144" t="s">
        <v>505</v>
      </c>
      <c r="Z144" t="str">
        <f t="shared" si="67"/>
        <v/>
      </c>
      <c r="AA144" t="str">
        <f t="shared" si="68"/>
        <v>Missing</v>
      </c>
      <c r="AC144" s="6" t="str">
        <f t="shared" si="69"/>
        <v/>
      </c>
      <c r="AD144" s="6" t="str">
        <f t="shared" si="70"/>
        <v>Missing</v>
      </c>
      <c r="AE144" t="s">
        <v>238</v>
      </c>
      <c r="AF144" t="str">
        <f t="shared" si="71"/>
        <v/>
      </c>
      <c r="AG144" t="str">
        <f t="shared" si="72"/>
        <v>Missing</v>
      </c>
      <c r="AI144" t="str">
        <f t="shared" si="73"/>
        <v/>
      </c>
      <c r="AJ144" s="5" t="s">
        <v>839</v>
      </c>
      <c r="AK144">
        <f>IF(TRIM(AJ144)="","",IF(LOWER(TRIM(AJ144))="one hundred",100,IFERROR(IF(VALUE(SUBSTITUTE(UPPER(TRIM(AJ144)),"GHS",""))&lt;0,"",VALUE(SUBSTITUTE(UPPER(TRIM(AJ144)),"GHS",""))),"")))</f>
        <v>305.56</v>
      </c>
      <c r="AL144" t="s">
        <v>37</v>
      </c>
      <c r="AM144">
        <f t="shared" si="74"/>
        <v>100</v>
      </c>
      <c r="AN144" t="s">
        <v>117</v>
      </c>
      <c r="AO144" t="str">
        <f t="shared" si="75"/>
        <v>Refunded</v>
      </c>
      <c r="AP144">
        <f>IF(OR(MessyClinicPatients[[#This Row],[Clean Total Bill]]="",MessyClinicPatients[[#This Row],[Clean Amount Paid]]=""),"",MessyClinicPatients[[#This Row],[Clean Total Bill]]-MessyClinicPatients[[#This Row],[Clean Amount Paid]])</f>
        <v>205.56</v>
      </c>
      <c r="AQ144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144" t="s">
        <v>96</v>
      </c>
      <c r="AS144" t="str">
        <f t="shared" si="76"/>
        <v>Nurse Amina</v>
      </c>
      <c r="AT144" t="s">
        <v>274</v>
      </c>
      <c r="AU144" t="str">
        <f t="shared" si="77"/>
        <v>Repeated Record?</v>
      </c>
    </row>
    <row r="145" spans="1:47" ht="18" customHeight="1">
      <c r="A145" t="s">
        <v>840</v>
      </c>
      <c r="B145" t="str">
        <f t="shared" si="62"/>
        <v>P-0144</v>
      </c>
      <c r="C145" t="s">
        <v>119</v>
      </c>
      <c r="D145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Peter</v>
      </c>
      <c r="E145" t="s">
        <v>23</v>
      </c>
      <c r="F145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Adebayo</v>
      </c>
      <c r="G145" s="9">
        <v>-3</v>
      </c>
      <c r="H145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145" t="s">
        <v>25</v>
      </c>
      <c r="J145" t="str">
        <f t="shared" si="63"/>
        <v>Other</v>
      </c>
      <c r="L145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N145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P145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Missing</v>
      </c>
      <c r="Q145" t="s">
        <v>46</v>
      </c>
      <c r="R145" t="str">
        <f t="shared" si="64"/>
        <v>Tema</v>
      </c>
      <c r="S145" t="s">
        <v>92</v>
      </c>
      <c r="T145" s="8" t="str">
        <f>IF(S145="","",IF(ISNUMBER(S145),S145,IF(AND(LEN(S145)=10,MID(S145,5,1)="-"),IFERROR(DATE(VALUE(LEFT(S145,4)),VALUE(MID(S145,6,2)),VALUE(RIGHT(S145,2))),"Invalid Date"),IF(AND(LEN(S145)=10,MID(S145,3,1)="/"),IFERROR(DATE(VALUE(RIGHT(S145,4)),VALUE(MID(S145,4,2)),VALUE(LEFT(S145,2))),"Invalid Date"),IF(AND(LEN(S145)=10,MID(S145,5,1)="/"),"Invalid Date",IFERROR(DATE(VALUE(RIGHT(S145,4)),MATCH(LEFT(S145,3),{"Jan","Feb","Mar","Apr","May","Jun","Jul","Aug","Sep","Oct","Nov","Dec"},0),VALUE(MID(S145,5,FIND(",",S145)-5))),"Invalid Date"))))))</f>
        <v>Invalid Date</v>
      </c>
      <c r="U145" t="s">
        <v>48</v>
      </c>
      <c r="V145" t="str">
        <f t="shared" si="65"/>
        <v>Routine Checkup</v>
      </c>
      <c r="W145" t="s">
        <v>31</v>
      </c>
      <c r="X145" t="str">
        <f t="shared" si="66"/>
        <v>Malaria</v>
      </c>
      <c r="Y145" t="s">
        <v>841</v>
      </c>
      <c r="Z145" t="str">
        <f t="shared" si="67"/>
        <v/>
      </c>
      <c r="AA145" t="str">
        <f t="shared" si="68"/>
        <v>Missing</v>
      </c>
      <c r="AB145" t="s">
        <v>591</v>
      </c>
      <c r="AC145" s="6">
        <f t="shared" si="69"/>
        <v>35.944444444444443</v>
      </c>
      <c r="AD145" s="6" t="str">
        <f t="shared" si="70"/>
        <v>Fahrenheit Converted</v>
      </c>
      <c r="AE145" t="s">
        <v>80</v>
      </c>
      <c r="AF145">
        <f t="shared" si="71"/>
        <v>80</v>
      </c>
      <c r="AG145" t="str">
        <f t="shared" si="72"/>
        <v>Valid</v>
      </c>
      <c r="AH145" t="s">
        <v>49</v>
      </c>
      <c r="AI145" t="str">
        <f t="shared" si="73"/>
        <v>None</v>
      </c>
      <c r="AJ145" s="5" t="s">
        <v>842</v>
      </c>
      <c r="AK145">
        <f>IF(TRIM(AJ145)="","",IF(LOWER(TRIM(AJ145))="one hundred",100,IFERROR(IF(VALUE(SUBSTITUTE(UPPER(TRIM(AJ145)),"GHS",""))&lt;0,"",VALUE(SUBSTITUTE(UPPER(TRIM(AJ145)),"GHS",""))),"")))</f>
        <v>519.87</v>
      </c>
      <c r="AL145" t="s">
        <v>53</v>
      </c>
      <c r="AM145">
        <f t="shared" si="74"/>
        <v>0</v>
      </c>
      <c r="AO145" t="str">
        <f t="shared" si="75"/>
        <v/>
      </c>
      <c r="AP145">
        <f>IF(OR(MessyClinicPatients[[#This Row],[Clean Total Bill]]="",MessyClinicPatients[[#This Row],[Clean Amount Paid]]=""),"",MessyClinicPatients[[#This Row],[Clean Total Bill]]-MessyClinicPatients[[#This Row],[Clean Amount Paid]])</f>
        <v>519.87</v>
      </c>
      <c r="AQ145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Unpaid</v>
      </c>
      <c r="AR145" t="s">
        <v>54</v>
      </c>
      <c r="AS145" t="str">
        <f t="shared" si="76"/>
        <v>Dr. Lee</v>
      </c>
      <c r="AT145" t="s">
        <v>171</v>
      </c>
      <c r="AU145" t="str">
        <f t="shared" si="77"/>
        <v>Allergy: Penicillin</v>
      </c>
    </row>
    <row r="146" spans="1:47" ht="18" customHeight="1">
      <c r="B146" t="str">
        <f t="shared" si="62"/>
        <v/>
      </c>
      <c r="C146" t="s">
        <v>193</v>
      </c>
      <c r="D146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Blessing</v>
      </c>
      <c r="E146" t="s">
        <v>23</v>
      </c>
      <c r="F146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Adebayo</v>
      </c>
      <c r="H146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146" t="s">
        <v>151</v>
      </c>
      <c r="J146" t="str">
        <f t="shared" si="63"/>
        <v>Male</v>
      </c>
      <c r="L146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46" t="s">
        <v>176</v>
      </c>
      <c r="N146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146" t="s">
        <v>843</v>
      </c>
      <c r="P146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Q146" t="s">
        <v>46</v>
      </c>
      <c r="R146" t="str">
        <f t="shared" si="64"/>
        <v>Tema</v>
      </c>
      <c r="T146" s="8" t="str">
        <f>IF(S146="","",IF(ISNUMBER(S146),S146,IF(AND(LEN(S146)=10,MID(S146,5,1)="-"),IFERROR(DATE(VALUE(LEFT(S146,4)),VALUE(MID(S146,6,2)),VALUE(RIGHT(S146,2))),"Invalid Date"),IF(AND(LEN(S146)=10,MID(S146,3,1)="/"),IFERROR(DATE(VALUE(RIGHT(S146,4)),VALUE(MID(S146,4,2)),VALUE(LEFT(S146,2))),"Invalid Date"),IF(AND(LEN(S146)=10,MID(S146,5,1)="/"),"Invalid Date",IFERROR(DATE(VALUE(RIGHT(S146,4)),MATCH(LEFT(S146,3),{"Jan","Feb","Mar","Apr","May","Jun","Jul","Aug","Sep","Oct","Nov","Dec"},0),VALUE(MID(S146,5,FIND(",",S146)-5))),"Invalid Date"))))))</f>
        <v/>
      </c>
      <c r="U146" t="s">
        <v>48</v>
      </c>
      <c r="V146" t="str">
        <f t="shared" si="65"/>
        <v>Routine Checkup</v>
      </c>
      <c r="X146" t="str">
        <f t="shared" si="66"/>
        <v/>
      </c>
      <c r="Z146" t="str">
        <f t="shared" si="67"/>
        <v/>
      </c>
      <c r="AA146" t="str">
        <f t="shared" si="68"/>
        <v>Missing</v>
      </c>
      <c r="AB146" t="s">
        <v>524</v>
      </c>
      <c r="AC146" s="6">
        <f t="shared" si="69"/>
        <v>39.4</v>
      </c>
      <c r="AD146" s="6" t="str">
        <f t="shared" si="70"/>
        <v>Valid</v>
      </c>
      <c r="AF146" t="str">
        <f t="shared" si="71"/>
        <v/>
      </c>
      <c r="AG146" t="str">
        <f t="shared" si="72"/>
        <v>Missing</v>
      </c>
      <c r="AH146" t="s">
        <v>93</v>
      </c>
      <c r="AI146" t="str">
        <f t="shared" si="73"/>
        <v>Private</v>
      </c>
      <c r="AJ146" s="5" t="s">
        <v>844</v>
      </c>
      <c r="AK146">
        <f>IF(TRIM(AJ146)="","",IF(LOWER(TRIM(AJ146))="one hundred",100,IFERROR(IF(VALUE(SUBSTITUTE(UPPER(TRIM(AJ146)),"GHS",""))&lt;0,"",VALUE(SUBSTITUTE(UPPER(TRIM(AJ146)),"GHS",""))),"")))</f>
        <v>97.99</v>
      </c>
      <c r="AL146" t="s">
        <v>116</v>
      </c>
      <c r="AM146" t="str">
        <f t="shared" si="74"/>
        <v/>
      </c>
      <c r="AN146" t="s">
        <v>38</v>
      </c>
      <c r="AO146" t="str">
        <f t="shared" si="75"/>
        <v>Partially Paid</v>
      </c>
      <c r="AP146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146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146" t="s">
        <v>83</v>
      </c>
      <c r="AS146" t="str">
        <f t="shared" si="76"/>
        <v>Dr. Patel</v>
      </c>
      <c r="AU146" t="str">
        <f t="shared" si="77"/>
        <v/>
      </c>
    </row>
    <row r="147" spans="1:47" ht="18" customHeight="1">
      <c r="A147" t="s">
        <v>845</v>
      </c>
      <c r="B147" t="str">
        <f t="shared" si="62"/>
        <v>P-0146</v>
      </c>
      <c r="C147" t="s">
        <v>356</v>
      </c>
      <c r="D147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Linda</v>
      </c>
      <c r="E147" t="s">
        <v>313</v>
      </c>
      <c r="F147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Abiola</v>
      </c>
      <c r="G147" s="9">
        <v>130</v>
      </c>
      <c r="H147" t="str">
        <f>IF(OR(MessyClinicPatients[[#This Row],[Age]]="",MessyClinicPatients[[#This Row],[Age]]="unknown"),"Missing",IF(OR(MessyClinicPatients[[#This Row],[Age]]&lt;0,MessyClinicPatients[[#This Row],[Age]]&gt;120),"Invalid Age","Valid"))</f>
        <v>Invalid Age</v>
      </c>
      <c r="I147" t="s">
        <v>183</v>
      </c>
      <c r="J147" t="str">
        <f t="shared" si="63"/>
        <v>Male</v>
      </c>
      <c r="L147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N147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147" t="s">
        <v>846</v>
      </c>
      <c r="P147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linda_abiola@clinicmail.org</v>
      </c>
      <c r="Q147" t="s">
        <v>132</v>
      </c>
      <c r="R147" t="str">
        <f t="shared" si="64"/>
        <v>Kano</v>
      </c>
      <c r="S147" t="s">
        <v>847</v>
      </c>
      <c r="T147" s="8">
        <f>IF(S147="","",IF(ISNUMBER(S147),S147,IF(AND(LEN(S147)=10,MID(S147,5,1)="-"),IFERROR(DATE(VALUE(LEFT(S147,4)),VALUE(MID(S147,6,2)),VALUE(RIGHT(S147,2))),"Invalid Date"),IF(AND(LEN(S147)=10,MID(S147,3,1)="/"),IFERROR(DATE(VALUE(RIGHT(S147,4)),VALUE(MID(S147,4,2)),VALUE(LEFT(S147,2))),"Invalid Date"),IF(AND(LEN(S147)=10,MID(S147,5,1)="/"),"Invalid Date",IFERROR(DATE(VALUE(RIGHT(S147,4)),MATCH(LEFT(S147,3),{"Jan","Feb","Mar","Apr","May","Jun","Jul","Aug","Sep","Oct","Nov","Dec"},0),VALUE(MID(S147,5,FIND(",",S147)-5))),"Invalid Date"))))))</f>
        <v>46067</v>
      </c>
      <c r="U147" t="s">
        <v>111</v>
      </c>
      <c r="V147" t="str">
        <f t="shared" si="65"/>
        <v>Follow-up</v>
      </c>
      <c r="X147" t="str">
        <f t="shared" si="66"/>
        <v/>
      </c>
      <c r="Y147" t="s">
        <v>848</v>
      </c>
      <c r="Z147" t="str">
        <f t="shared" si="67"/>
        <v/>
      </c>
      <c r="AA147" t="str">
        <f t="shared" si="68"/>
        <v>Missing</v>
      </c>
      <c r="AC147" s="6" t="str">
        <f t="shared" si="69"/>
        <v/>
      </c>
      <c r="AD147" s="6" t="str">
        <f t="shared" si="70"/>
        <v>Missing</v>
      </c>
      <c r="AE147" t="s">
        <v>80</v>
      </c>
      <c r="AF147">
        <f t="shared" si="71"/>
        <v>80</v>
      </c>
      <c r="AG147" t="str">
        <f t="shared" si="72"/>
        <v>Valid</v>
      </c>
      <c r="AH147" t="s">
        <v>93</v>
      </c>
      <c r="AI147" t="str">
        <f t="shared" si="73"/>
        <v>Private</v>
      </c>
      <c r="AJ147" s="5" t="s">
        <v>849</v>
      </c>
      <c r="AK147">
        <f>IF(TRIM(AJ147)="","",IF(LOWER(TRIM(AJ147))="one hundred",100,IFERROR(IF(VALUE(SUBSTITUTE(UPPER(TRIM(AJ147)),"GHS",""))&lt;0,"",VALUE(SUBSTITUTE(UPPER(TRIM(AJ147)),"GHS",""))),"")))</f>
        <v>225.96</v>
      </c>
      <c r="AM147" t="str">
        <f t="shared" si="74"/>
        <v/>
      </c>
      <c r="AN147" t="s">
        <v>38</v>
      </c>
      <c r="AO147" t="str">
        <f t="shared" si="75"/>
        <v>Partially Paid</v>
      </c>
      <c r="AP147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147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147" t="s">
        <v>54</v>
      </c>
      <c r="AS147" t="str">
        <f t="shared" si="76"/>
        <v>Dr. Lee</v>
      </c>
      <c r="AT147" t="s">
        <v>274</v>
      </c>
      <c r="AU147" t="str">
        <f t="shared" si="77"/>
        <v>Repeated Record?</v>
      </c>
    </row>
    <row r="148" spans="1:47" ht="18" customHeight="1">
      <c r="A148" t="s">
        <v>850</v>
      </c>
      <c r="B148" t="str">
        <f t="shared" si="62"/>
        <v>P-0147</v>
      </c>
      <c r="C148" t="s">
        <v>233</v>
      </c>
      <c r="D148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Joseph</v>
      </c>
      <c r="E148" t="s">
        <v>260</v>
      </c>
      <c r="F148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Acheampong</v>
      </c>
      <c r="G148" t="s">
        <v>24</v>
      </c>
      <c r="H148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148" t="s">
        <v>234</v>
      </c>
      <c r="J148" t="str">
        <f t="shared" si="63"/>
        <v>Male</v>
      </c>
      <c r="L148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48" t="s">
        <v>61</v>
      </c>
      <c r="N148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Invalid Phone</v>
      </c>
      <c r="O148" t="s">
        <v>851</v>
      </c>
      <c r="P148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joseph_acheampong@clinicmail.org</v>
      </c>
      <c r="Q148" t="s">
        <v>101</v>
      </c>
      <c r="R148" t="str">
        <f t="shared" si="64"/>
        <v>Accra</v>
      </c>
      <c r="T148" s="8" t="str">
        <f>IF(S148="","",IF(ISNUMBER(S148),S148,IF(AND(LEN(S148)=10,MID(S148,5,1)="-"),IFERROR(DATE(VALUE(LEFT(S148,4)),VALUE(MID(S148,6,2)),VALUE(RIGHT(S148,2))),"Invalid Date"),IF(AND(LEN(S148)=10,MID(S148,3,1)="/"),IFERROR(DATE(VALUE(RIGHT(S148,4)),VALUE(MID(S148,4,2)),VALUE(LEFT(S148,2))),"Invalid Date"),IF(AND(LEN(S148)=10,MID(S148,5,1)="/"),"Invalid Date",IFERROR(DATE(VALUE(RIGHT(S148,4)),MATCH(LEFT(S148,3),{"Jan","Feb","Mar","Apr","May","Jun","Jul","Aug","Sep","Oct","Nov","Dec"},0),VALUE(MID(S148,5,FIND(",",S148)-5))),"Invalid Date"))))))</f>
        <v/>
      </c>
      <c r="U148" t="s">
        <v>111</v>
      </c>
      <c r="V148" t="str">
        <f t="shared" si="65"/>
        <v>Follow-up</v>
      </c>
      <c r="W148" t="s">
        <v>195</v>
      </c>
      <c r="X148" t="str">
        <f t="shared" si="66"/>
        <v>Skin Rash</v>
      </c>
      <c r="Y148" t="s">
        <v>852</v>
      </c>
      <c r="Z148" t="str">
        <f t="shared" si="67"/>
        <v>125/102</v>
      </c>
      <c r="AA148" t="str">
        <f t="shared" si="68"/>
        <v>Valid</v>
      </c>
      <c r="AB148" t="s">
        <v>853</v>
      </c>
      <c r="AC148" s="6">
        <f t="shared" si="69"/>
        <v>36.299999999999997</v>
      </c>
      <c r="AD148" s="6" t="str">
        <f t="shared" si="70"/>
        <v>Valid</v>
      </c>
      <c r="AE148" t="s">
        <v>238</v>
      </c>
      <c r="AF148" t="str">
        <f t="shared" si="71"/>
        <v/>
      </c>
      <c r="AG148" t="str">
        <f t="shared" si="72"/>
        <v>Missing</v>
      </c>
      <c r="AH148" t="s">
        <v>93</v>
      </c>
      <c r="AI148" t="str">
        <f t="shared" si="73"/>
        <v>Private</v>
      </c>
      <c r="AJ148" s="5" t="s">
        <v>854</v>
      </c>
      <c r="AK148">
        <f>IF(TRIM(AJ148)="","",IF(LOWER(TRIM(AJ148))="one hundred",100,IFERROR(IF(VALUE(SUBSTITUTE(UPPER(TRIM(AJ148)),"GHS",""))&lt;0,"",VALUE(SUBSTITUTE(UPPER(TRIM(AJ148)),"GHS",""))),"")))</f>
        <v>117.04</v>
      </c>
      <c r="AL148" t="s">
        <v>855</v>
      </c>
      <c r="AM148">
        <f t="shared" si="74"/>
        <v>99.98</v>
      </c>
      <c r="AN148" t="s">
        <v>95</v>
      </c>
      <c r="AO148" t="str">
        <f t="shared" si="75"/>
        <v>Pending</v>
      </c>
      <c r="AP148">
        <f>IF(OR(MessyClinicPatients[[#This Row],[Clean Total Bill]]="",MessyClinicPatients[[#This Row],[Clean Amount Paid]]=""),"",MessyClinicPatients[[#This Row],[Clean Total Bill]]-MessyClinicPatients[[#This Row],[Clean Amount Paid]])</f>
        <v>17.060000000000002</v>
      </c>
      <c r="AQ148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148" t="s">
        <v>96</v>
      </c>
      <c r="AS148" t="str">
        <f t="shared" si="76"/>
        <v>Nurse Amina</v>
      </c>
      <c r="AT148" t="s">
        <v>97</v>
      </c>
      <c r="AU148" t="str">
        <f t="shared" si="77"/>
        <v>Patient Came Late</v>
      </c>
    </row>
    <row r="149" spans="1:47" ht="18" customHeight="1">
      <c r="A149" t="s">
        <v>856</v>
      </c>
      <c r="B149" t="str">
        <f t="shared" si="62"/>
        <v>P-0148</v>
      </c>
      <c r="C149" t="s">
        <v>42</v>
      </c>
      <c r="D149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Mary</v>
      </c>
      <c r="E149" t="s">
        <v>269</v>
      </c>
      <c r="F149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Kamara</v>
      </c>
      <c r="G149" t="s">
        <v>24</v>
      </c>
      <c r="H149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149" t="s">
        <v>183</v>
      </c>
      <c r="J149" t="str">
        <f t="shared" si="63"/>
        <v>Male</v>
      </c>
      <c r="L149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N149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149" t="s">
        <v>857</v>
      </c>
      <c r="P149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mary.kamara@email.com</v>
      </c>
      <c r="Q149" t="s">
        <v>76</v>
      </c>
      <c r="R149" t="str">
        <f t="shared" si="64"/>
        <v>Cape Coast</v>
      </c>
      <c r="S149" t="s">
        <v>314</v>
      </c>
      <c r="T149" s="8">
        <f>IF(S149="","",IF(ISNUMBER(S149),S149,IF(AND(LEN(S149)=10,MID(S149,5,1)="-"),IFERROR(DATE(VALUE(LEFT(S149,4)),VALUE(MID(S149,6,2)),VALUE(RIGHT(S149,2))),"Invalid Date"),IF(AND(LEN(S149)=10,MID(S149,3,1)="/"),IFERROR(DATE(VALUE(RIGHT(S149,4)),VALUE(MID(S149,4,2)),VALUE(LEFT(S149,2))),"Invalid Date"),IF(AND(LEN(S149)=10,MID(S149,5,1)="/"),"Invalid Date",IFERROR(DATE(VALUE(RIGHT(S149,4)),MATCH(LEFT(S149,3),{"Jan","Feb","Mar","Apr","May","Jun","Jul","Aug","Sep","Oct","Nov","Dec"},0),VALUE(MID(S149,5,FIND(",",S149)-5))),"Invalid Date"))))))</f>
        <v>46031</v>
      </c>
      <c r="V149" t="str">
        <f t="shared" si="65"/>
        <v/>
      </c>
      <c r="W149" t="s">
        <v>49</v>
      </c>
      <c r="X149" t="str">
        <f t="shared" si="66"/>
        <v>None</v>
      </c>
      <c r="Z149" t="str">
        <f t="shared" si="67"/>
        <v/>
      </c>
      <c r="AA149" t="str">
        <f t="shared" si="68"/>
        <v>Missing</v>
      </c>
      <c r="AC149" s="6" t="str">
        <f t="shared" si="69"/>
        <v/>
      </c>
      <c r="AD149" s="6" t="str">
        <f t="shared" si="70"/>
        <v>Missing</v>
      </c>
      <c r="AE149" t="s">
        <v>238</v>
      </c>
      <c r="AF149" t="str">
        <f t="shared" si="71"/>
        <v/>
      </c>
      <c r="AG149" t="str">
        <f t="shared" si="72"/>
        <v>Missing</v>
      </c>
      <c r="AH149" t="s">
        <v>114</v>
      </c>
      <c r="AI149" t="str">
        <f t="shared" si="73"/>
        <v>NHIS</v>
      </c>
      <c r="AJ149" s="5" t="s">
        <v>858</v>
      </c>
      <c r="AK149">
        <f>IF(TRIM(AJ149)="","",IF(LOWER(TRIM(AJ149))="one hundred",100,IFERROR(IF(VALUE(SUBSTITUTE(UPPER(TRIM(AJ149)),"GHS",""))&lt;0,"",VALUE(SUBSTITUTE(UPPER(TRIM(AJ149)),"GHS",""))),"")))</f>
        <v>519.01</v>
      </c>
      <c r="AM149" t="str">
        <f t="shared" si="74"/>
        <v/>
      </c>
      <c r="AN149" t="s">
        <v>68</v>
      </c>
      <c r="AO149" t="str">
        <f t="shared" si="75"/>
        <v>Paid</v>
      </c>
      <c r="AP149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149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Paid</v>
      </c>
      <c r="AR149" t="s">
        <v>54</v>
      </c>
      <c r="AS149" t="str">
        <f t="shared" si="76"/>
        <v>Dr. Lee</v>
      </c>
      <c r="AT149" t="s">
        <v>159</v>
      </c>
      <c r="AU149" t="str">
        <f t="shared" si="77"/>
        <v>Missing Lab Results</v>
      </c>
    </row>
    <row r="150" spans="1:47" ht="18" customHeight="1">
      <c r="A150" t="s">
        <v>859</v>
      </c>
      <c r="B150" t="str">
        <f t="shared" si="62"/>
        <v>P-0149</v>
      </c>
      <c r="C150" t="s">
        <v>603</v>
      </c>
      <c r="D150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Tunde</v>
      </c>
      <c r="E150" t="s">
        <v>140</v>
      </c>
      <c r="F150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Smith</v>
      </c>
      <c r="G150" t="s">
        <v>24</v>
      </c>
      <c r="H150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150" t="s">
        <v>59</v>
      </c>
      <c r="J150" t="str">
        <f t="shared" si="63"/>
        <v>Female</v>
      </c>
      <c r="L150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N150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Missing</v>
      </c>
      <c r="O150" t="s">
        <v>860</v>
      </c>
      <c r="P150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Invalid Email</v>
      </c>
      <c r="Q150" t="s">
        <v>76</v>
      </c>
      <c r="R150" t="str">
        <f t="shared" si="64"/>
        <v>Cape Coast</v>
      </c>
      <c r="S150" t="s">
        <v>861</v>
      </c>
      <c r="T150" s="8">
        <f>IF(S150="","",IF(ISNUMBER(S150),S150,IF(AND(LEN(S150)=10,MID(S150,5,1)="-"),IFERROR(DATE(VALUE(LEFT(S150,4)),VALUE(MID(S150,6,2)),VALUE(RIGHT(S150,2))),"Invalid Date"),IF(AND(LEN(S150)=10,MID(S150,3,1)="/"),IFERROR(DATE(VALUE(RIGHT(S150,4)),VALUE(MID(S150,4,2)),VALUE(LEFT(S150,2))),"Invalid Date"),IF(AND(LEN(S150)=10,MID(S150,5,1)="/"),"Invalid Date",IFERROR(DATE(VALUE(RIGHT(S150,4)),MATCH(LEFT(S150,3),{"Jan","Feb","Mar","Apr","May","Jun","Jul","Aug","Sep","Oct","Nov","Dec"},0),VALUE(MID(S150,5,FIND(",",S150)-5))),"Invalid Date"))))))</f>
        <v>46111</v>
      </c>
      <c r="U150" t="s">
        <v>111</v>
      </c>
      <c r="V150" t="str">
        <f t="shared" si="65"/>
        <v>Follow-up</v>
      </c>
      <c r="W150" t="s">
        <v>412</v>
      </c>
      <c r="X150" t="str">
        <f t="shared" si="66"/>
        <v>Asthma</v>
      </c>
      <c r="Y150" t="s">
        <v>179</v>
      </c>
      <c r="Z150" t="str">
        <f t="shared" si="67"/>
        <v/>
      </c>
      <c r="AA150" t="str">
        <f t="shared" si="68"/>
        <v>Missing</v>
      </c>
      <c r="AB150" t="s">
        <v>524</v>
      </c>
      <c r="AC150" s="6">
        <f t="shared" si="69"/>
        <v>39.4</v>
      </c>
      <c r="AD150" s="6" t="str">
        <f t="shared" si="70"/>
        <v>Valid</v>
      </c>
      <c r="AF150" t="str">
        <f t="shared" si="71"/>
        <v/>
      </c>
      <c r="AG150" t="str">
        <f t="shared" si="72"/>
        <v>Missing</v>
      </c>
      <c r="AH150" t="s">
        <v>49</v>
      </c>
      <c r="AI150" t="str">
        <f t="shared" si="73"/>
        <v>None</v>
      </c>
      <c r="AJ150" s="5" t="s">
        <v>862</v>
      </c>
      <c r="AK150">
        <f>IF(TRIM(AJ150)="","",IF(LOWER(TRIM(AJ150))="one hundred",100,IFERROR(IF(VALUE(SUBSTITUTE(UPPER(TRIM(AJ150)),"GHS",""))&lt;0,"",VALUE(SUBSTITUTE(UPPER(TRIM(AJ150)),"GHS",""))),"")))</f>
        <v>292.13</v>
      </c>
      <c r="AM150" t="str">
        <f t="shared" si="74"/>
        <v/>
      </c>
      <c r="AO150" t="str">
        <f t="shared" si="75"/>
        <v/>
      </c>
      <c r="AP150" t="str">
        <f>IF(OR(MessyClinicPatients[[#This Row],[Clean Total Bill]]="",MessyClinicPatients[[#This Row],[Clean Amount Paid]]=""),"",MessyClinicPatients[[#This Row],[Clean Total Bill]]-MessyClinicPatients[[#This Row],[Clean Amount Paid]])</f>
        <v/>
      </c>
      <c r="AQ150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/>
      </c>
      <c r="AS150" t="str">
        <f t="shared" si="76"/>
        <v/>
      </c>
      <c r="AT150" t="s">
        <v>274</v>
      </c>
      <c r="AU150" t="str">
        <f t="shared" si="77"/>
        <v>Repeated Record?</v>
      </c>
    </row>
    <row r="151" spans="1:47" ht="18" customHeight="1">
      <c r="A151" t="s">
        <v>863</v>
      </c>
      <c r="B151" t="str">
        <f t="shared" si="62"/>
        <v>P-0150</v>
      </c>
      <c r="C151" t="s">
        <v>193</v>
      </c>
      <c r="D151" t="str">
        <f>IF(TRIM(MessyClinicPatients[[#This Row],[First Name]])="","Missing",IF(TRIM(MessyClinicPatients[[#This Row],[Last Name]])="",IFERROR(_xlfn.TEXTBEFORE(TRIM(MessyClinicPatients[[#This Row],[First Name]])," "),TRIM(MessyClinicPatients[[#This Row],[First Name]])),TRIM(MessyClinicPatients[[#This Row],[First Name]])))</f>
        <v>Blessing</v>
      </c>
      <c r="E151" t="s">
        <v>43</v>
      </c>
      <c r="F151" t="str">
        <f>IF(TRIM(MessyClinicPatients[[#This Row],[Last Name]])&lt;&gt;"",TRIM(MessyClinicPatients[[#This Row],[Last Name]]),IF(TRIM(MessyClinicPatients[[#This Row],[First Name]])="","Missing",IFERROR(_xlfn.TEXTAFTER(TRIM(MessyClinicPatients[[#This Row],[First Name]])," "),"Missing")))</f>
        <v>Osei</v>
      </c>
      <c r="G151" t="s">
        <v>24</v>
      </c>
      <c r="H151" t="str">
        <f>IF(OR(MessyClinicPatients[[#This Row],[Age]]="",MessyClinicPatients[[#This Row],[Age]]="unknown"),"Missing",IF(OR(MessyClinicPatients[[#This Row],[Age]]&lt;0,MessyClinicPatients[[#This Row],[Age]]&gt;120),"Invalid Age","Valid"))</f>
        <v>Missing</v>
      </c>
      <c r="I151" t="s">
        <v>234</v>
      </c>
      <c r="J151" t="str">
        <f t="shared" si="63"/>
        <v>Male</v>
      </c>
      <c r="L151" s="8" t="str">
        <f>IFERROR(IF(ISNUMBER(MessyClinicPatients[[#This Row],[Date of Birth]]),MessyClinicPatients[[#This Row],[Date of Birth]],IF(MID(MessyClinicPatients[[#This Row],[Date of Birth]],3,1)="-",DATE(RIGHT(MessyClinicPatients[[#This Row],[Date of Birth]],4),LEFT(MessyClinicPatients[[#This Row],[Date of Birth]],2),MID(MessyClinicPatients[[#This Row],[Date of Birth]],4,2)),DATEVALUE(MessyClinicPatients[[#This Row],[Date of Birth]]))),"Missing")</f>
        <v>Missing</v>
      </c>
      <c r="M151" t="s">
        <v>864</v>
      </c>
      <c r="N151" t="str">
        <f>IF(OR(MessyClinicPatients[[#This Row],[Phone]]="",MessyClinicPatients[[#This Row],[Phone]]="N/A"),"Missing",IF(LEN(SUBSTITUTE(SUBSTITUTE(SUBSTITUTE(SUBSTITUTE(MessyClinicPatients[[#This Row],[Phone]]," ",""),"-",""),"+",""),"(",""))&lt;10,"Invalid Phone",SUBSTITUTE(SUBSTITUTE(MessyClinicPatients[[#This Row],[Phone]]," ",""),"-","")))</f>
        <v>9829195454</v>
      </c>
      <c r="O151" t="s">
        <v>865</v>
      </c>
      <c r="P151" t="str">
        <f>IF(OR(MessyClinicPatients[[#This Row],[Email]]="",LOWER(TRIM(MessyClinicPatients[[#This Row],[Email]]))="not available",LOWER(TRIM(MessyClinicPatients[[#This Row],[Email]]))="n/a"),"Missing",IF(AND(ISNUMBER(SEARCH("@",MessyClinicPatients[[#This Row],[Email]])),OR(RIGHT(LOWER(TRIM(MessyClinicPatients[[#This Row],[Email]])),4)=".com",RIGHT(LOWER(TRIM(MessyClinicPatients[[#This Row],[Email]])),4)=".org")),LOWER(TRIM(MessyClinicPatients[[#This Row],[Email]])),"Invalid Email"))</f>
        <v>blessing_osei@clinicmail.org</v>
      </c>
      <c r="Q151" t="s">
        <v>63</v>
      </c>
      <c r="R151" t="str">
        <f t="shared" si="64"/>
        <v>Tamale</v>
      </c>
      <c r="T151" s="8" t="str">
        <f>IF(S151="","",IF(ISNUMBER(S151),S151,IF(AND(LEN(S151)=10,MID(S151,5,1)="-"),IFERROR(DATE(VALUE(LEFT(S151,4)),VALUE(MID(S151,6,2)),VALUE(RIGHT(S151,2))),"Invalid Date"),IF(AND(LEN(S151)=10,MID(S151,3,1)="/"),IFERROR(DATE(VALUE(RIGHT(S151,4)),VALUE(MID(S151,4,2)),VALUE(LEFT(S151,2))),"Invalid Date"),IF(AND(LEN(S151)=10,MID(S151,5,1)="/"),"Invalid Date",IFERROR(DATE(VALUE(RIGHT(S151,4)),MATCH(LEFT(S151,3),{"Jan","Feb","Mar","Apr","May","Jun","Jul","Aug","Sep","Oct","Nov","Dec"},0),VALUE(MID(S151,5,FIND(",",S151)-5))),"Invalid Date"))))))</f>
        <v/>
      </c>
      <c r="U151" t="s">
        <v>144</v>
      </c>
      <c r="V151" t="str">
        <f t="shared" si="65"/>
        <v>Consultation</v>
      </c>
      <c r="W151" t="s">
        <v>31</v>
      </c>
      <c r="X151" t="str">
        <f t="shared" si="66"/>
        <v>Malaria</v>
      </c>
      <c r="Y151" t="s">
        <v>179</v>
      </c>
      <c r="Z151" t="str">
        <f t="shared" si="67"/>
        <v/>
      </c>
      <c r="AA151" t="str">
        <f t="shared" si="68"/>
        <v>Missing</v>
      </c>
      <c r="AB151" t="s">
        <v>733</v>
      </c>
      <c r="AC151" s="6">
        <f t="shared" si="69"/>
        <v>36.333333333333336</v>
      </c>
      <c r="AD151" s="6" t="str">
        <f t="shared" si="70"/>
        <v>Fahrenheit Converted</v>
      </c>
      <c r="AE151" t="s">
        <v>866</v>
      </c>
      <c r="AF151" t="str">
        <f t="shared" si="71"/>
        <v/>
      </c>
      <c r="AG151" t="str">
        <f t="shared" si="72"/>
        <v>Missing</v>
      </c>
      <c r="AH151" t="s">
        <v>93</v>
      </c>
      <c r="AI151" t="str">
        <f t="shared" si="73"/>
        <v>Private</v>
      </c>
      <c r="AJ151" s="5" t="s">
        <v>867</v>
      </c>
      <c r="AK151">
        <f>IF(TRIM(AJ151)="","",IF(LOWER(TRIM(AJ151))="one hundred",100,IFERROR(IF(VALUE(SUBSTITUTE(UPPER(TRIM(AJ151)),"GHS",""))&lt;0,"",VALUE(SUBSTITUTE(UPPER(TRIM(AJ151)),"GHS",""))),"")))</f>
        <v>129.04</v>
      </c>
      <c r="AL151" t="s">
        <v>868</v>
      </c>
      <c r="AM151">
        <f t="shared" si="74"/>
        <v>8.83</v>
      </c>
      <c r="AN151" t="s">
        <v>137</v>
      </c>
      <c r="AO151" t="str">
        <f t="shared" si="75"/>
        <v>Unpaid</v>
      </c>
      <c r="AP151">
        <f>IF(OR(MessyClinicPatients[[#This Row],[Clean Total Bill]]="",MessyClinicPatients[[#This Row],[Clean Amount Paid]]=""),"",MessyClinicPatients[[#This Row],[Clean Total Bill]]-MessyClinicPatients[[#This Row],[Clean Amount Paid]])</f>
        <v>120.21</v>
      </c>
      <c r="AQ151" t="str">
        <f>IF(OR(MessyClinicPatients[[#This Row],[Clean Total Bill]]="",MessyClinicPatients[[#This Row],[Clean Amount Paid]]=""),MessyClinicPatients[[#This Row],[Clean Payment Status]],IF(MessyClinicPatients[[#This Row],[Clean Amount Paid]]&lt;0,"Refunded",IF(MessyClinicPatients[[#This Row],[Clean Amount Paid]]=0,"Unpaid",IF(MessyClinicPatients[[#This Row],[Clean Amount Paid]]&gt;=MessyClinicPatients[[#This Row],[Clean Total Bill]],"Paid","Partially Paid"))))</f>
        <v>Partially Paid</v>
      </c>
      <c r="AR151" t="s">
        <v>211</v>
      </c>
      <c r="AS151" t="str">
        <f t="shared" si="76"/>
        <v>Nurse Ama</v>
      </c>
      <c r="AT151" t="s">
        <v>40</v>
      </c>
      <c r="AU151" t="str">
        <f t="shared" si="77"/>
        <v>Needs Follow-Up</v>
      </c>
    </row>
    <row r="152" spans="1:47" ht="18" customHeight="1"/>
    <row r="153" spans="1:47" ht="18" customHeight="1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workbookViewId="0">
      <selection activeCell="G29" sqref="G29"/>
    </sheetView>
  </sheetViews>
  <sheetFormatPr defaultRowHeight="14.25"/>
  <cols>
    <col min="1" max="1" width="24" customWidth="1"/>
    <col min="2" max="2" width="137.375" customWidth="1"/>
  </cols>
  <sheetData>
    <row r="1" spans="1:2" ht="24" customHeight="1">
      <c r="A1" s="4" t="s">
        <v>873</v>
      </c>
      <c r="B1" s="4" t="s">
        <v>874</v>
      </c>
    </row>
    <row r="2" spans="1:2" ht="24" customHeight="1">
      <c r="A2" s="2" t="s">
        <v>875</v>
      </c>
      <c r="B2" s="2"/>
    </row>
    <row r="3" spans="1:2" ht="24" customHeight="1">
      <c r="A3" t="s">
        <v>653</v>
      </c>
      <c r="B3" t="s">
        <v>876</v>
      </c>
    </row>
    <row r="4" spans="1:2" ht="24" customHeight="1">
      <c r="A4" t="s">
        <v>877</v>
      </c>
      <c r="B4" t="s">
        <v>878</v>
      </c>
    </row>
    <row r="5" spans="1:2" ht="24" customHeight="1">
      <c r="A5" t="s">
        <v>879</v>
      </c>
      <c r="B5" t="s">
        <v>880</v>
      </c>
    </row>
    <row r="6" spans="1:2" ht="24" customHeight="1">
      <c r="A6" t="s">
        <v>881</v>
      </c>
      <c r="B6" t="s">
        <v>882</v>
      </c>
    </row>
    <row r="7" spans="1:2" ht="24" customHeight="1">
      <c r="A7" t="s">
        <v>883</v>
      </c>
      <c r="B7" t="s">
        <v>884</v>
      </c>
    </row>
    <row r="8" spans="1:2" ht="24" customHeight="1">
      <c r="A8" t="s">
        <v>885</v>
      </c>
      <c r="B8" t="s">
        <v>886</v>
      </c>
    </row>
    <row r="9" spans="1:2" ht="24" customHeight="1">
      <c r="A9" t="s">
        <v>887</v>
      </c>
      <c r="B9" t="s">
        <v>888</v>
      </c>
    </row>
    <row r="10" spans="1:2" ht="24" customHeight="1">
      <c r="A10" t="s">
        <v>889</v>
      </c>
      <c r="B10" t="s">
        <v>890</v>
      </c>
    </row>
    <row r="11" spans="1:2" ht="24" customHeight="1">
      <c r="A11" t="s">
        <v>891</v>
      </c>
      <c r="B11" t="s">
        <v>892</v>
      </c>
    </row>
    <row r="12" spans="1:2" ht="24" customHeight="1">
      <c r="A12" t="s">
        <v>893</v>
      </c>
      <c r="B12" t="s">
        <v>894</v>
      </c>
    </row>
    <row r="13" spans="1:2" ht="24" customHeight="1">
      <c r="A13" s="3" t="s">
        <v>895</v>
      </c>
      <c r="B13" s="3" t="s">
        <v>896</v>
      </c>
    </row>
    <row r="20" spans="1:3" ht="15">
      <c r="A20" s="12" t="s">
        <v>923</v>
      </c>
      <c r="B20" s="12" t="s">
        <v>924</v>
      </c>
      <c r="C20" s="12"/>
    </row>
    <row r="21" spans="1:3" ht="15">
      <c r="A21" s="11" t="s">
        <v>925</v>
      </c>
      <c r="B21" s="11" t="s">
        <v>926</v>
      </c>
    </row>
    <row r="22" spans="1:3" ht="15">
      <c r="A22" s="11" t="s">
        <v>0</v>
      </c>
      <c r="B22" s="11" t="s">
        <v>927</v>
      </c>
    </row>
    <row r="23" spans="1:3" ht="15">
      <c r="A23" s="11" t="s">
        <v>928</v>
      </c>
      <c r="B23" s="11" t="s">
        <v>929</v>
      </c>
    </row>
    <row r="24" spans="1:3" ht="15">
      <c r="A24" s="11" t="s">
        <v>930</v>
      </c>
      <c r="B24" s="11" t="s">
        <v>931</v>
      </c>
    </row>
    <row r="25" spans="1:3" ht="15">
      <c r="A25" s="11" t="s">
        <v>3</v>
      </c>
      <c r="B25" s="11" t="s">
        <v>932</v>
      </c>
    </row>
    <row r="26" spans="1:3" ht="15">
      <c r="A26" s="11" t="s">
        <v>933</v>
      </c>
      <c r="B26" s="11" t="s">
        <v>934</v>
      </c>
    </row>
    <row r="27" spans="1:3" ht="15">
      <c r="A27" s="11" t="s">
        <v>935</v>
      </c>
      <c r="B27" s="11" t="s">
        <v>936</v>
      </c>
    </row>
    <row r="28" spans="1:3" ht="15">
      <c r="A28" s="11" t="s">
        <v>937</v>
      </c>
      <c r="B28" s="11" t="s">
        <v>938</v>
      </c>
    </row>
    <row r="29" spans="1:3" ht="15">
      <c r="A29" s="11" t="s">
        <v>939</v>
      </c>
      <c r="B29" s="11" t="s">
        <v>940</v>
      </c>
    </row>
    <row r="30" spans="1:3" ht="15">
      <c r="A30" s="11" t="s">
        <v>941</v>
      </c>
      <c r="B30" s="11" t="s">
        <v>942</v>
      </c>
    </row>
    <row r="31" spans="1:3" ht="15">
      <c r="A31" s="11" t="s">
        <v>12</v>
      </c>
      <c r="B31" s="11" t="s">
        <v>943</v>
      </c>
    </row>
    <row r="32" spans="1:3" ht="15">
      <c r="A32" s="11" t="s">
        <v>944</v>
      </c>
      <c r="B32" s="11" t="s">
        <v>945</v>
      </c>
    </row>
    <row r="33" spans="1:2" ht="15">
      <c r="A33" s="11" t="s">
        <v>946</v>
      </c>
      <c r="B33" s="11" t="s">
        <v>947</v>
      </c>
    </row>
    <row r="34" spans="1:2" ht="15">
      <c r="A34" s="11"/>
      <c r="B3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Messy Patient Data (2)</vt:lpstr>
      <vt:lpstr>Clean Patient Data</vt:lpstr>
      <vt:lpstr>Cleaning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Oluwadamilola Adenuga</dc:creator>
  <cp:lastModifiedBy>Oluwadamilola Adenuga</cp:lastModifiedBy>
  <dcterms:created xsi:type="dcterms:W3CDTF">2026-09-21T19:13:56Z</dcterms:created>
  <dcterms:modified xsi:type="dcterms:W3CDTF">2026-09-22T08:29:05Z</dcterms:modified>
</cp:coreProperties>
</file>